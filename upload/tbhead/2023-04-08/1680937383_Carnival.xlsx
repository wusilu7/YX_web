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NewRR\Assets\Config\Resource\Public\"/>
    </mc:Choice>
  </mc:AlternateContent>
  <bookViews>
    <workbookView xWindow="0" yWindow="0" windowWidth="28125" windowHeight="12540" tabRatio="510"/>
  </bookViews>
  <sheets>
    <sheet name="Sheet1" sheetId="1" r:id="rId1"/>
    <sheet name="Sheet1 (2)" sheetId="5" r:id="rId2"/>
    <sheet name="备用" sheetId="3" r:id="rId3"/>
    <sheet name="Sheet2" sheetId="2" r:id="rId4"/>
    <sheet name="Sheet3" sheetId="4" r:id="rId5"/>
  </sheets>
  <definedNames>
    <definedName name="_xlnm._FilterDatabase" localSheetId="0" hidden="1">Sheet1!$A$4:$AK$5</definedName>
    <definedName name="_xlnm._FilterDatabase" localSheetId="1" hidden="1">'Sheet1 (2)'!$A$4:$BI$6</definedName>
    <definedName name="_xlnm._FilterDatabase" localSheetId="2" hidden="1">备用!$A$1:$AK$45</definedName>
  </definedNames>
  <calcPr calcId="152511"/>
</workbook>
</file>

<file path=xl/calcChain.xml><?xml version="1.0" encoding="utf-8"?>
<calcChain xmlns="http://schemas.openxmlformats.org/spreadsheetml/2006/main">
  <c r="O11" i="1" l="1"/>
  <c r="O12" i="1"/>
  <c r="O13" i="1"/>
  <c r="O14" i="1"/>
  <c r="O15" i="1"/>
  <c r="O16" i="1"/>
  <c r="O17" i="1"/>
  <c r="O10" i="1"/>
  <c r="O9" i="1"/>
  <c r="B43" i="4"/>
  <c r="B42" i="4"/>
  <c r="B41" i="4"/>
  <c r="B40" i="4"/>
  <c r="B39" i="4"/>
  <c r="C39" i="4" s="1"/>
  <c r="F32" i="2"/>
  <c r="K32" i="2" s="1"/>
  <c r="H31" i="2"/>
  <c r="G31" i="2"/>
  <c r="F31" i="2"/>
  <c r="I29" i="2"/>
  <c r="H29" i="2"/>
  <c r="G29" i="2"/>
  <c r="F29" i="2"/>
  <c r="K29" i="2" s="1"/>
  <c r="J28" i="2"/>
  <c r="I28" i="2"/>
  <c r="H28" i="2"/>
  <c r="G28" i="2"/>
  <c r="F28" i="2"/>
  <c r="J25" i="2"/>
  <c r="I25" i="2"/>
  <c r="H25" i="2"/>
  <c r="G25" i="2"/>
  <c r="F25" i="2"/>
  <c r="K25" i="2" s="1"/>
  <c r="J24" i="2"/>
  <c r="I24" i="2"/>
  <c r="H24" i="2"/>
  <c r="G24" i="2"/>
  <c r="F24" i="2"/>
  <c r="K24" i="2" s="1"/>
  <c r="K23" i="2"/>
  <c r="J23" i="2"/>
  <c r="I23" i="2"/>
  <c r="H23" i="2"/>
  <c r="G23" i="2"/>
  <c r="F23" i="2"/>
  <c r="J20" i="2"/>
  <c r="F20" i="2"/>
  <c r="I20" i="2" s="1"/>
  <c r="E16" i="2"/>
  <c r="F16" i="2" s="1"/>
  <c r="G14" i="2" s="1"/>
  <c r="E15" i="2"/>
  <c r="F12" i="2"/>
  <c r="AE45" i="3"/>
  <c r="AD45" i="3"/>
  <c r="AC45" i="3"/>
  <c r="AB45" i="3"/>
  <c r="AA45" i="3"/>
  <c r="Z45" i="3"/>
  <c r="AF45" i="3" s="1"/>
  <c r="L44" i="3"/>
  <c r="L43" i="3"/>
  <c r="L42" i="3"/>
  <c r="L41" i="3"/>
  <c r="L40" i="3"/>
  <c r="L39" i="3"/>
  <c r="L38" i="3"/>
  <c r="AF37" i="3"/>
  <c r="AF36" i="3"/>
  <c r="AF35" i="3"/>
  <c r="AF34" i="3"/>
  <c r="AE33" i="3"/>
  <c r="AD33" i="3"/>
  <c r="AC33" i="3"/>
  <c r="AB33" i="3"/>
  <c r="AF33" i="3" s="1"/>
  <c r="Z33" i="3"/>
  <c r="AE32" i="3"/>
  <c r="AD32" i="3"/>
  <c r="AC32" i="3"/>
  <c r="AB32" i="3"/>
  <c r="AF32" i="3" s="1"/>
  <c r="Z32" i="3"/>
  <c r="Z31" i="3"/>
  <c r="AF31" i="3" s="1"/>
  <c r="AA30" i="3"/>
  <c r="Z30" i="3" s="1"/>
  <c r="AF30" i="3" s="1"/>
  <c r="AA29" i="3"/>
  <c r="Z29" i="3" s="1"/>
  <c r="AF29" i="3" s="1"/>
  <c r="AA28" i="3"/>
  <c r="Z28" i="3" s="1"/>
  <c r="AF28" i="3" s="1"/>
  <c r="AA27" i="3"/>
  <c r="Z27" i="3" s="1"/>
  <c r="AF27" i="3" s="1"/>
  <c r="AA26" i="3"/>
  <c r="Z26" i="3" s="1"/>
  <c r="AF26" i="3" s="1"/>
  <c r="AE25" i="3"/>
  <c r="AD25" i="3"/>
  <c r="AC25" i="3"/>
  <c r="AB25" i="3"/>
  <c r="Z25" i="3"/>
  <c r="AF25" i="3" s="1"/>
  <c r="AE24" i="3"/>
  <c r="AD24" i="3"/>
  <c r="AC24" i="3"/>
  <c r="AB24" i="3"/>
  <c r="Z24" i="3"/>
  <c r="AF24" i="3" s="1"/>
  <c r="AE23" i="3"/>
  <c r="AD23" i="3"/>
  <c r="AC23" i="3"/>
  <c r="AB23" i="3"/>
  <c r="Z23" i="3"/>
  <c r="AF23" i="3" s="1"/>
  <c r="AE22" i="3"/>
  <c r="AD22" i="3"/>
  <c r="AC22" i="3"/>
  <c r="AB22" i="3"/>
  <c r="Z22" i="3"/>
  <c r="AF22" i="3" s="1"/>
  <c r="AE21" i="3"/>
  <c r="AD21" i="3"/>
  <c r="AC21" i="3"/>
  <c r="AB21" i="3"/>
  <c r="Z21" i="3"/>
  <c r="AF21" i="3" s="1"/>
  <c r="AE20" i="3"/>
  <c r="AD20" i="3"/>
  <c r="AC20" i="3"/>
  <c r="AB20" i="3"/>
  <c r="Z20" i="3"/>
  <c r="AF20" i="3" s="1"/>
  <c r="AE19" i="3"/>
  <c r="AD19" i="3"/>
  <c r="AC19" i="3"/>
  <c r="AB19" i="3"/>
  <c r="Z19" i="3"/>
  <c r="AF19" i="3" s="1"/>
  <c r="AE18" i="3"/>
  <c r="AD18" i="3"/>
  <c r="AC18" i="3"/>
  <c r="AB18" i="3"/>
  <c r="Z18" i="3"/>
  <c r="AF18" i="3" s="1"/>
  <c r="AE17" i="3"/>
  <c r="AD17" i="3"/>
  <c r="AC17" i="3"/>
  <c r="AB17" i="3"/>
  <c r="Z17" i="3"/>
  <c r="AF17" i="3" s="1"/>
  <c r="Z16" i="3"/>
  <c r="AF16" i="3" s="1"/>
  <c r="AE15" i="3"/>
  <c r="AD15" i="3"/>
  <c r="AC15" i="3"/>
  <c r="AB15" i="3"/>
  <c r="Z15" i="3"/>
  <c r="AF15" i="3" s="1"/>
  <c r="AE14" i="3"/>
  <c r="AD14" i="3"/>
  <c r="AC14" i="3"/>
  <c r="AB14" i="3"/>
  <c r="Z14" i="3"/>
  <c r="AF14" i="3" s="1"/>
  <c r="Z13" i="3"/>
  <c r="AF13" i="3" s="1"/>
  <c r="AF12" i="3"/>
  <c r="AE12" i="3"/>
  <c r="AD12" i="3"/>
  <c r="AC12" i="3"/>
  <c r="AB12" i="3"/>
  <c r="Z12" i="3"/>
  <c r="AF11" i="3"/>
  <c r="AE11" i="3"/>
  <c r="AD11" i="3"/>
  <c r="AC11" i="3"/>
  <c r="AB11" i="3"/>
  <c r="Z11" i="3"/>
  <c r="AF10" i="3"/>
  <c r="AE10" i="3"/>
  <c r="AD10" i="3"/>
  <c r="AC10" i="3"/>
  <c r="AB10" i="3"/>
  <c r="Z10" i="3"/>
  <c r="AF9" i="3"/>
  <c r="AE9" i="3"/>
  <c r="AD9" i="3"/>
  <c r="AC9" i="3"/>
  <c r="AB9" i="3"/>
  <c r="Z9" i="3"/>
  <c r="AF8" i="3"/>
  <c r="AE8" i="3"/>
  <c r="AD8" i="3"/>
  <c r="AC8" i="3"/>
  <c r="AB8" i="3"/>
  <c r="Z8" i="3"/>
  <c r="AF7" i="3"/>
  <c r="AE6" i="3"/>
  <c r="AD6" i="3"/>
  <c r="AC6" i="3"/>
  <c r="AB6" i="3"/>
  <c r="Z6" i="3"/>
  <c r="AF6" i="3" s="1"/>
  <c r="AE5" i="3"/>
  <c r="AD5" i="3"/>
  <c r="AC5" i="3"/>
  <c r="AB5" i="3"/>
  <c r="Z5" i="3"/>
  <c r="AF5" i="3" s="1"/>
  <c r="O6" i="5"/>
  <c r="O5" i="5"/>
  <c r="O7" i="1"/>
  <c r="O6" i="1"/>
  <c r="O5" i="1"/>
  <c r="M23" i="2" l="1"/>
  <c r="M28" i="2"/>
  <c r="K20" i="2"/>
  <c r="G32" i="2"/>
  <c r="M31" i="2" s="1"/>
  <c r="I31" i="2"/>
  <c r="H32" i="2"/>
  <c r="G20" i="2"/>
  <c r="M20" i="2" s="1"/>
  <c r="K28" i="2"/>
  <c r="J29" i="2"/>
  <c r="J31" i="2"/>
  <c r="I32" i="2"/>
  <c r="H20" i="2"/>
  <c r="K31" i="2"/>
  <c r="J32" i="2"/>
</calcChain>
</file>

<file path=xl/sharedStrings.xml><?xml version="1.0" encoding="utf-8"?>
<sst xmlns="http://schemas.openxmlformats.org/spreadsheetml/2006/main" count="1420" uniqueCount="605">
  <si>
    <t>INT</t>
  </si>
  <si>
    <t>STRING</t>
  </si>
  <si>
    <t>SET</t>
  </si>
  <si>
    <t>ID</t>
  </si>
  <si>
    <t>RetrieveID</t>
  </si>
  <si>
    <t>Name</t>
  </si>
  <si>
    <t>Remark</t>
  </si>
  <si>
    <t>Type</t>
  </si>
  <si>
    <t>FestivalID</t>
  </si>
  <si>
    <t>IsShowInTeam</t>
  </si>
  <si>
    <t>AppointMap</t>
  </si>
  <si>
    <t>ShowLevel</t>
  </si>
  <si>
    <t>JoinLevel</t>
  </si>
  <si>
    <t>JoinFight</t>
  </si>
  <si>
    <t>NeedSituation</t>
  </si>
  <si>
    <t>OpenDate</t>
  </si>
  <si>
    <t>OpenTime</t>
  </si>
  <si>
    <t>Duration</t>
  </si>
  <si>
    <t>JoinCount</t>
  </si>
  <si>
    <t>JoinMember</t>
  </si>
  <si>
    <t>JoinMode</t>
  </si>
  <si>
    <t>Reward</t>
  </si>
  <si>
    <t>TriggerSet</t>
  </si>
  <si>
    <t>CompleteSet</t>
  </si>
  <si>
    <t>RetrieveSet</t>
  </si>
  <si>
    <t>ClientOptionSet</t>
  </si>
  <si>
    <t>BackPicID</t>
  </si>
  <si>
    <t>LvRandMapID</t>
  </si>
  <si>
    <t>RandMapID</t>
  </si>
  <si>
    <t>ServerOption</t>
  </si>
  <si>
    <t>SweepID</t>
  </si>
  <si>
    <t>SweepVip</t>
  </si>
  <si>
    <t>SweepVipRefund</t>
  </si>
  <si>
    <t>SweepPlayerLevel</t>
  </si>
  <si>
    <t>SweepCost</t>
  </si>
  <si>
    <t>SweepRewardGold</t>
  </si>
  <si>
    <t>SweepRewardGoldLvParam</t>
  </si>
  <si>
    <t>SweepRewardExp</t>
  </si>
  <si>
    <t>SweepRewardExpLvParam</t>
  </si>
  <si>
    <t>SweepPoolID</t>
  </si>
  <si>
    <t>活动ID</t>
  </si>
  <si>
    <t>找回ID</t>
  </si>
  <si>
    <t>活动名称</t>
  </si>
  <si>
    <t>备注说明</t>
  </si>
  <si>
    <t>活动类型</t>
  </si>
  <si>
    <t>节日ID</t>
  </si>
  <si>
    <t>是否在组队界面显示</t>
  </si>
  <si>
    <t>活动指定地图</t>
  </si>
  <si>
    <t>显示等级限制</t>
  </si>
  <si>
    <t>加入等级限制</t>
  </si>
  <si>
    <t>加入战力限制</t>
  </si>
  <si>
    <t>需求境界</t>
  </si>
  <si>
    <t>开放日期</t>
  </si>
  <si>
    <t>开放时间</t>
  </si>
  <si>
    <t>持续时间</t>
  </si>
  <si>
    <t>开放次数</t>
  </si>
  <si>
    <t>成员数量限制</t>
  </si>
  <si>
    <t>参与方式</t>
  </si>
  <si>
    <t>活动奖励</t>
  </si>
  <si>
    <t>触发事件</t>
  </si>
  <si>
    <t>完成条件</t>
  </si>
  <si>
    <t>找回条件</t>
  </si>
  <si>
    <t>客户端选项</t>
  </si>
  <si>
    <t>背景图片资源ID</t>
  </si>
  <si>
    <t>等级段传送ID</t>
  </si>
  <si>
    <t>随机地图ID</t>
  </si>
  <si>
    <t>服务器选项</t>
  </si>
  <si>
    <t>扫荡ID</t>
  </si>
  <si>
    <t>扫荡vip等级</t>
  </si>
  <si>
    <t>扫荡vip返还</t>
  </si>
  <si>
    <t>扫荡人物等级</t>
  </si>
  <si>
    <t>扫荡消耗</t>
  </si>
  <si>
    <t>扫荡奖励金币</t>
  </si>
  <si>
    <t>扫荡奖励金币等级参数</t>
  </si>
  <si>
    <t>扫荡奖励经验</t>
  </si>
  <si>
    <t>扫荡奖励经验等级参数</t>
  </si>
  <si>
    <t>扫荡奖励随机池</t>
  </si>
  <si>
    <t>#此列服务器需要，不可删除，暂定最大127</t>
  </si>
  <si>
    <t>#活动名称</t>
  </si>
  <si>
    <t>#活动相关备注说明</t>
  </si>
  <si>
    <t>#类型：对应活动类型查看Const表</t>
  </si>
  <si>
    <t>#节日活动,[每日登录],</t>
  </si>
  <si>
    <t>#默认是</t>
  </si>
  <si>
    <t>#指定地图的活动只有在对应的地图才能接取完成，没有地图限制的填写-1</t>
  </si>
  <si>
    <t>#在此等级区域内才显示到界面</t>
  </si>
  <si>
    <t>#在此等级区域内才可以加入活动</t>
  </si>
  <si>
    <t>#在此战力区域内才可以加入活动</t>
  </si>
  <si>
    <t>#活动开放的日期(填写示例：1每日开放的活动：[每日活动]、2每周开放的活动：[每周活动](指定周几)、3每月开放活动：[每月活动](指定日期)。指定周几填写0-6表示周日到周六，指定日期填写1-31表示具体的日期)、4每年开放的活动:[每年活动](指定日期).指定月份填写1-12表示1月到12月,指定日期填写表示具体的日期);5[跨周活动](开始的第N周,跨N周,周几开)</t>
  </si>
  <si>
    <t>#活动开放日的具体开放时间段，(12,00)表示12点开启，(17,15)表示17点15开启</t>
  </si>
  <si>
    <t>#活动持续时间(秒数)</t>
  </si>
  <si>
    <t>#活动可以参与的次数</t>
  </si>
  <si>
    <t>#活动可以参与的人数限制</t>
  </si>
  <si>
    <t>#参与活动的方式;-1单人和多;0:单人模式;1组队模式</t>
  </si>
  <si>
    <t>#活动完成奖励，对应类型和参数查看Const表</t>
  </si>
  <si>
    <t>#活动触发对应事件</t>
  </si>
  <si>
    <t>#活动完成条件</t>
  </si>
  <si>
    <t>#找回条件</t>
  </si>
  <si>
    <t>#[条件计数]=计数KEY;[是否显示]=0;[消耗道具]=0;</t>
  </si>
  <si>
    <t>#背景图片资源ID,图片名字为ActivityBack1,ActivityBack2等</t>
  </si>
  <si>
    <t>#对应RandCopyMap表</t>
  </si>
  <si>
    <t>#[同一阵营]=1;[同一公会]=1;[需要密钥]=1;[是否重置全部]=1;[原服活动]=1;[队伍最小密境次数]=2;[男女队伍]=1</t>
  </si>
  <si>
    <t>赛季</t>
  </si>
  <si>
    <t>[首次开服活动3]</t>
  </si>
  <si>
    <t>(00,00,604800);</t>
  </si>
  <si>
    <t>[是否重置全部]=1;[距离开服当天]=0;</t>
  </si>
  <si>
    <t>赛季不开始计算时剩余时间值</t>
  </si>
  <si>
    <t>(00,00);</t>
  </si>
  <si>
    <t>通行证</t>
  </si>
  <si>
    <t>黄金矿洞</t>
  </si>
  <si>
    <t>[每日活动]</t>
  </si>
  <si>
    <t>CONST</t>
  </si>
  <si>
    <t>SpecOption</t>
  </si>
  <si>
    <t>TeamTip</t>
  </si>
  <si>
    <t>ShowReward</t>
  </si>
  <si>
    <t>ShowReward1</t>
  </si>
  <si>
    <t>ShowReward2</t>
  </si>
  <si>
    <t>ShowReward3</t>
  </si>
  <si>
    <t>ShowReward4</t>
  </si>
  <si>
    <t>ShowReward5</t>
  </si>
  <si>
    <t>TextTipAward</t>
  </si>
  <si>
    <t>TextTipTime</t>
  </si>
  <si>
    <t>Option</t>
  </si>
  <si>
    <t>SortIndex</t>
  </si>
  <si>
    <t>WizardID</t>
  </si>
  <si>
    <t>QuestDone</t>
  </si>
  <si>
    <t>UITip</t>
  </si>
  <si>
    <t>ActivityRuleDes</t>
  </si>
  <si>
    <t>RedDotTip</t>
  </si>
  <si>
    <t>ActivitySimpleDes</t>
  </si>
  <si>
    <t>Model</t>
  </si>
  <si>
    <t>ShowText</t>
  </si>
  <si>
    <t>NoticeTime</t>
  </si>
  <si>
    <t>特殊操作</t>
  </si>
  <si>
    <t>队伍提示</t>
  </si>
  <si>
    <t>显示活动奖励</t>
  </si>
  <si>
    <t>活动文本提示奖励</t>
  </si>
  <si>
    <t>活动文本提示时间</t>
  </si>
  <si>
    <t>选项</t>
  </si>
  <si>
    <t>活动排序索引</t>
  </si>
  <si>
    <t>指引ID</t>
  </si>
  <si>
    <t>完成任务条件</t>
  </si>
  <si>
    <t>活动显示提示</t>
  </si>
  <si>
    <t>活动规则描述</t>
  </si>
  <si>
    <t>活动是否要记录小红点</t>
  </si>
  <si>
    <t>#活动简要提示</t>
  </si>
  <si>
    <t>模型ID</t>
  </si>
  <si>
    <t>奖励文本</t>
  </si>
  <si>
    <t>#0打开通用界面，1打开指定界面</t>
  </si>
  <si>
    <t>#队伍提示</t>
  </si>
  <si>
    <t>#金币</t>
  </si>
  <si>
    <t>#天数提示</t>
  </si>
  <si>
    <t>#匹配类型(0#3V3快速匹配,1#3V3巅峰匹配,2#1V1巅峰匹配);</t>
  </si>
  <si>
    <t>#排序索引，不能为空，不能重复，可以不连续，值越小排在越前面</t>
  </si>
  <si>
    <t>#该活动是否显示</t>
  </si>
  <si>
    <t>#1001 [任务id]</t>
  </si>
  <si>
    <t>#当活动的完成次数小于等于配置次数时，则会显示小红点，配置-1时次数取开放次数</t>
  </si>
  <si>
    <t>#提前预告活动使用</t>
  </si>
  <si>
    <t>百万庆典累充</t>
  </si>
  <si>
    <t>[限时活动]</t>
  </si>
  <si>
    <t>(1,1201)</t>
  </si>
  <si>
    <t>[首次开服活动当天]</t>
  </si>
  <si>
    <t>[是否显示]=0;[是否预告]=0;</t>
  </si>
  <si>
    <t>[是否重置全部]=0;</t>
  </si>
  <si>
    <t>[通用活动]</t>
  </si>
  <si>
    <t>套装</t>
  </si>
  <si>
    <t>全天</t>
  </si>
  <si>
    <t>招财猫</t>
  </si>
  <si>
    <t>#活动开放的日期(填写示例：1每日开放的活动：[每日活动]、2每周开放的活动：[每周活动](指定周几)、3每月开放活动：[每月活动](指定日期)。指定周几填写0-6表示周日到周六，指定日期填写1-31表示具体的日期)</t>
  </si>
  <si>
    <t>#条件计数=计数KEY;[是否显示]=0;</t>
  </si>
  <si>
    <t>#[同一阵营]=1</t>
  </si>
  <si>
    <t>0=</t>
  </si>
  <si>
    <t>1=</t>
  </si>
  <si>
    <t>2=</t>
  </si>
  <si>
    <t>3=</t>
  </si>
  <si>
    <t>4=</t>
  </si>
  <si>
    <t>5=</t>
  </si>
  <si>
    <t>格林奥斯神殿</t>
  </si>
  <si>
    <t>肯瑞斯的死亡大军正在袭击格林奥斯神殿，神殿的守护塔维正在奋力抵抗，守护神殿中心的生命水晶。</t>
  </si>
  <si>
    <t>[日常活动]</t>
  </si>
  <si>
    <t>1</t>
  </si>
  <si>
    <t>(21,120)</t>
  </si>
  <si>
    <t>(02,00);</t>
  </si>
  <si>
    <t>0=[完成随机副本](4,1)</t>
  </si>
  <si>
    <t>每多一位队员，怪物经验增加 &lt;color=#FFDF8CFF&gt;&lt;size=30&gt;5%&lt;/size&gt;&lt;/color&gt;</t>
  </si>
  <si>
    <t>[活动活跃度奖励](10);[活动物品奖励](4801001,1);</t>
  </si>
  <si>
    <t>1=[活动活跃度奖励](10);1=[活动物品奖励](4801001,1);</t>
  </si>
  <si>
    <t>经验</t>
  </si>
  <si>
    <t>2</t>
  </si>
  <si>
    <t>1.每天可进行2次，进入副本就扣除活动次数。\n2.守护神殿，保护中心水晶不被怪物摧毁。\n3.战斗持续5分钟。水晶被摧毁，战斗会提前结束。\n4.花费金钻和金币可以购买经验加成和伤害加成。</t>
  </si>
  <si>
    <t>黑龙宝库</t>
  </si>
  <si>
    <t>黑龙之王朵拉索斯沉迷于财富，将毕生掠夺的宝藏藏匿在遗忘的矮人城堡中，无数冒险者献出了自己的生命，只为能够盗取出那么一丁点财宝。</t>
  </si>
  <si>
    <t>(31,120)</t>
  </si>
  <si>
    <t>0=[完成随机副本](3,1)</t>
  </si>
  <si>
    <t>[活动活跃度奖励](10);[活动物品奖励](4801002,1);</t>
  </si>
  <si>
    <t>金币</t>
  </si>
  <si>
    <t>3</t>
  </si>
  <si>
    <t>1.每天可进行2次，进入副本就扣除活动次数。\n2.在大管家基格带走所有宝箱之前，击败所有的守卫，便可以挑战黑龙之王朵拉索斯，获得大量金币。\n3.基格带走所有的宝箱，战斗会提前结束。\n4.剩余的宝箱，可以免费开启，获得大量金币。\n5.被基格带走的宝箱，可以消耗金钻开启。</t>
  </si>
  <si>
    <t>25级秘境</t>
  </si>
  <si>
    <t>巴哈姆特女王为你打开了时光秘境的入口，清除时光缝隙中的怪物，为女王回到拂晓之战扫清道路，而这些怪物也携带着传说中的强大装备。</t>
  </si>
  <si>
    <t>[时光秘境]</t>
  </si>
  <si>
    <t>(25,120)</t>
  </si>
  <si>
    <t>[活动物品奖励](4101010,1);[活动物品奖励](4101011,1);[活动物品奖励](4101012,1);[活动物品奖励](4800002,1);</t>
  </si>
  <si>
    <t>0=[活动物品奖励](4801010,1);0=[活动物品奖励](1101061,1);0=[活动物品奖励](1101062,1);0=[活动物品奖励](1101064,1);</t>
  </si>
  <si>
    <t>1=[活动物品奖励](4801010,1);1=[活动物品奖励](1101061,1);1=[活动物品奖励](1101062,1);1=[活动物品奖励](1101064,1);</t>
  </si>
  <si>
    <t>2=[活动物品奖励](4801010,1);2=[活动物品奖励](1201061,1);2=[活动物品奖励](1201062,1);2=[活动物品奖励](1201064,1);</t>
  </si>
  <si>
    <t>3=[活动物品奖励](4801010,1);3=[活动物品奖励](1201061,1);3=[活动物品奖励](1201062,1);3=[活动物品奖励](1201064,1);</t>
  </si>
  <si>
    <t>4=[活动物品奖励](4801010,1);4=[活动物品奖励](1301061,1);4=[活动物品奖励](1301062,1);4=[活动物品奖励](1301064,1);</t>
  </si>
  <si>
    <t>5=[活动物品奖励](4801010,1);5=[活动物品奖励](1301061,1);5=[活动物品奖励](1301062,1);5=[活动物品奖励](1301064,1);</t>
  </si>
  <si>
    <t>装备</t>
  </si>
  <si>
    <t>获得1阶远古装备</t>
  </si>
  <si>
    <t>1.每天可进行3次，完成副本扣除活动次数。\n2.击败所有时光秘境中的怪物和时光守护者，可获得大量装备奖励。\n3.所有等级段的时光秘境共享3次次数。</t>
  </si>
  <si>
    <t>巨龙之魂</t>
  </si>
  <si>
    <t>巴哈姆特的力量可以让援军穿梭在各个时空，去寻找这些时空中遗留的巨龙力量，以寻回那些遗落已久的正义龙魂。</t>
  </si>
  <si>
    <t>(38,120)</t>
  </si>
  <si>
    <t>0=[完成随机副本](1,1)</t>
  </si>
  <si>
    <t>[巨龙之心活动]</t>
  </si>
  <si>
    <t>[活动活跃度奖励](10);[活动物品奖励](4801007,1);[活动物品奖励](4801005,1);</t>
  </si>
  <si>
    <t>1=[活动活跃度奖励](10);1=[活动物品奖励](4801007,1);1=[活动物品奖励](4801005,1);</t>
  </si>
  <si>
    <t>龙魂</t>
  </si>
  <si>
    <t>6</t>
  </si>
  <si>
    <t>1.每天可进行1次，完成副本扣除活动次数。\n2.击败副本中的首领，获得胜利。</t>
  </si>
  <si>
    <t>魔法位面</t>
  </si>
  <si>
    <t>魔法之王一方面和邪龙督军加纳克抗衡着。但是在另一个魔法位面中，他的魔法军团也在破坏着这个世界。我们必须协助大法师斐罗尔阻止位面中的魔法军团！</t>
  </si>
  <si>
    <t>(65,120)</t>
  </si>
  <si>
    <t>0=[杀死目标](15304512,-1,1)</t>
  </si>
  <si>
    <t>[活动活跃度奖励](10);[活动物品奖励](4101020,1);[活动物品奖励](4106101,1);[活动物品奖励](4700001,1);</t>
  </si>
  <si>
    <t>1=[活动活跃度奖励](10);1=[活动物品奖励](4101020,1);1=[活动物品奖励](4106101,1);1=[活动物品奖励](4700001,1);</t>
  </si>
  <si>
    <t>洗炼材料</t>
  </si>
  <si>
    <t>7</t>
  </si>
  <si>
    <t>1.每天可进行2次，完成副本扣除活动次数。\n2.击败守卫魔法后庭的三个首领，打开通往圣殿花园的大门。\n3.击败花园中的指挥官拉克加尔，获得胜利。</t>
  </si>
  <si>
    <t>沙洲战报</t>
  </si>
  <si>
    <t>巨龙沙洲深处，隐藏着龙神艾欧巨大的力量，而魔法之光和复仇之怒也在这里驻扎，并且为了争夺这些强大的资源，而展开了互相的厮杀。</t>
  </si>
  <si>
    <t>0</t>
  </si>
  <si>
    <t>[奖励脚本]();</t>
  </si>
  <si>
    <t>0=[任务完成](100,3);1=[任务完成](102,1);2=[任务完成](103,1);3=[任务完成](104,1);4=[任务完成](105,1);5=[任务完成](106,1)</t>
  </si>
  <si>
    <t>[巨龙沙洲活动]</t>
  </si>
  <si>
    <t>[活动活跃度奖励](40);[活动物品奖励](4800003,1);[活动物品奖励](4801001,1);[活动物品奖励](4801015,1);</t>
  </si>
  <si>
    <t>1=[活动活跃度奖励](40);1=[活动物品奖励](4800003,1);1=[活动物品奖励](4801001,1);1=[活动物品奖励](4801015,1);</t>
  </si>
  <si>
    <t>经验荣誉</t>
  </si>
  <si>
    <t>4</t>
  </si>
  <si>
    <t>1725;1733</t>
  </si>
  <si>
    <t>1.巨龙战场为PVP区域,这里敌对阵营玩家可以互相击杀。\n2.完成沙洲战报中的任务，可以获得大量经验奖励。\n3.龙神之力分为低级（绿色）、中级（蓝色）、高级（金色）三种，等级越高，经验越高。\n4.先完成作战技巧任务，所有战报任务可获得100%经验加成。</t>
  </si>
  <si>
    <t>耐拉斯尖塔</t>
  </si>
  <si>
    <t>耐拉斯的魔法世界非常神奇，他经常通过魔法创造出世间的万物，无穷无尽，但如此强大的魔法，也吸引无数先驱者冒死前往摄取。而在此，你只有一次机会成功！</t>
  </si>
  <si>
    <t>(32,120)</t>
  </si>
  <si>
    <t>0=[进入副本](50305,1)</t>
  </si>
  <si>
    <t>[活动活跃度奖励](20);[活动物品奖励](4801009,1);[活动物品奖励](4801011,1);</t>
  </si>
  <si>
    <t>1=[活动活跃度奖励](20);1=[活动物品奖励](4800020,1);1=[活动物品奖励](4801011,1);</t>
  </si>
  <si>
    <t>符文</t>
  </si>
  <si>
    <t>8</t>
  </si>
  <si>
    <t>1.挑战次数无限制，难度越来越大。\n2.每个阶段分为5波怪物，第5波为首领，每波怪物均有挑战时间限制，时间结束或者玩家死亡，则挑战结束。\n3.首领怪物会产出大量符文碎片。每个首领的奖励只能领取1次。\n4.副本会记录玩家挑战的最高首领，每天第一次挑战会从记录的首领的第1波怪物开始挑战。</t>
  </si>
  <si>
    <t>赏金猎人</t>
  </si>
  <si>
    <t>邪龙的大军肆虐在整片大地上，永生龙殿中的赏金猎人组织一直在试图通过极端手段清除这些怪物，当然，这其中也不乏大量的金钱交易。</t>
  </si>
  <si>
    <t>(30,120)</t>
  </si>
  <si>
    <t>0=[任务组完成](0,10);</t>
  </si>
  <si>
    <t>条件计数=0(10);[是否检查战斗状态]=0</t>
  </si>
  <si>
    <t>[赏金活动]</t>
  </si>
  <si>
    <t>[活动活跃度奖励](4);[活动物品奖励](4801001,1);[活动物品奖励](4801002,1);</t>
  </si>
  <si>
    <t>1=[活动活跃度奖励](4);1=[活动物品奖励](4801001,1);1=[活动物品奖励](4801002,1);</t>
  </si>
  <si>
    <t>金币经验</t>
  </si>
  <si>
    <t>9</t>
  </si>
  <si>
    <t>1.跑环任务，每天10环。\n2.完成最后一环会获得大量奖励。</t>
  </si>
  <si>
    <t>1V1快速赛</t>
  </si>
  <si>
    <t>快速赛每个整点开启、持续20分钟，竞技等级每次提升都会获得竞技宝箱。12：00-13：00、19：00-20：00为黄金赛，胜利方可获得胜利宝箱，每天最多获得5次。</t>
  </si>
  <si>
    <t>[竞技活动]</t>
  </si>
  <si>
    <t>(120,120)</t>
  </si>
  <si>
    <t>(1000,1000000)</t>
  </si>
  <si>
    <t>0=[战斗结果](1,40102,[结束])</t>
  </si>
  <si>
    <t>[匹配类型]=2</t>
  </si>
  <si>
    <t>4V4快速赛</t>
  </si>
  <si>
    <t>13：00-14：00、20：00-21：00期间，每20分钟开启一场，开启后30秒内可以进行匹配。胜利方可获得胜利宝箱，每天最多获得3次。参与竞技均可获得参与宝箱。</t>
  </si>
  <si>
    <t>(16,120)</t>
  </si>
  <si>
    <t>(13,00);(13,20);(13,40);(20,00);(20,20);(20,40)</t>
  </si>
  <si>
    <t>0=[战斗结果](1,40101,[结束])</t>
  </si>
  <si>
    <t>[活动物品奖励](4801014,1);[活动物品奖励](4540001,1);[活动物品奖励](4540004,1);</t>
  </si>
  <si>
    <t>1=[活动物品奖励](4801014,1);1=[活动物品奖励](4540001,1);1=[活动物品奖励](4540004,1);</t>
  </si>
  <si>
    <t>每天13：00-14：00、20：00-21：00</t>
  </si>
  <si>
    <t>[匹配类型]=1</t>
  </si>
  <si>
    <t>1723</t>
  </si>
  <si>
    <t>1.竞技次数无限制。\n2.每天13：00-14：00、20：00-21：00期间，每20分钟开启一场，开启后有30秒的时间进行匹配。\n3.胜利方可获得胜利宝箱，每天最多获得3次。\n4.参与竞技均可获得参与宝箱。\n5.参与竞技可以获得竞技经验，提升竞技等级，竞技等级每升1级，可获得1个竞技宝箱。</t>
  </si>
  <si>
    <t>世界首领</t>
  </si>
  <si>
    <t>这个世界异常危险，各种可怕的远古怪物随时都可能出现在任何角落，他们异常强大，集合你的同伴，击败他们，巨大的财富和宝藏等着你们！</t>
  </si>
  <si>
    <t>[首领活动]</t>
  </si>
  <si>
    <t>(34,120)</t>
  </si>
  <si>
    <t>[世界首领]</t>
  </si>
  <si>
    <t>[活动物品奖励](4800003,1);[活动物品奖励](4800002,1);[活动物品奖励](4801002,1);[活动物品奖励](4801009,1);</t>
  </si>
  <si>
    <t>1=[活动物品奖励](4800003,1);1=[活动物品奖励](4800002,1);1=[活动物品奖励](4801002,1);1=[活动物品奖励](4801009,1);</t>
  </si>
  <si>
    <t>时段</t>
  </si>
  <si>
    <t>这个世界异常危险，各种可怕的怪物随时都可能出现在任何角落，他们异常强大，集合你的同伴，击败他们，巨大的财富和宝藏等着你们！</t>
  </si>
  <si>
    <t>公会联赛</t>
  </si>
  <si>
    <t>公会联赛制作中</t>
  </si>
  <si>
    <t>翅膀</t>
  </si>
  <si>
    <t>风之速递</t>
  </si>
  <si>
    <t>风之牧场现在正急需大量的牧草和饲料用于喂养各种坐骑，大量的货物积压在风之速递站中，速递员们已经忙得不可开交了，快去帮帮他们的忙吧！</t>
  </si>
  <si>
    <t>0=[任务完成](112,3);</t>
  </si>
  <si>
    <t>条件计数=0(3)</t>
  </si>
  <si>
    <t>[牧场活动]</t>
  </si>
  <si>
    <t>[活动活跃度奖励](4);[活动物品奖励](4800004,1);[活动物品奖励](4800005,1);[活动物品奖励](4800006,1);[活动物品奖励](4110011,1);</t>
  </si>
  <si>
    <t>1=[活动活跃度奖励](4);1=[活动物品奖励](4800004,1);1=[活动物品奖励](4800005,1);1=[活动物品奖励](4800006,1);1=[活动物品奖励](4110011,1);</t>
  </si>
  <si>
    <t>坐骑</t>
  </si>
  <si>
    <t>1.替风之速运站运送牧草到风之牧场，每天可送货3次。\n2.召唤不同的精灵为你送货，可以获得不同的奖励。越高阶的精灵奖励越高。\n3.召唤精灵为随机召唤，精灵等阶可能升高，也可能降低，但不会跨等阶升降。\n4.运送途中执行传送操作，都会导致运送失败。但召唤的精灵不会丢失，可以重新回到起点进行运送。\n5.完成3次运送，会获得结算奖励。</t>
  </si>
  <si>
    <t>考古专家</t>
  </si>
  <si>
    <t>考古协会的专家们正在世界各地搜寻巨龙的圣物，但这些圣物可能带来巨大的财富，也可能招来可怕的恶魔。</t>
  </si>
  <si>
    <t>(45,120)</t>
  </si>
  <si>
    <t>0=[任务组完成](2,10);</t>
  </si>
  <si>
    <t>[考古专家活动]</t>
  </si>
  <si>
    <t>[活动活跃度奖励](4);[活动物品奖励](4801001,1);[活动物品奖励](4801002,1);[活动物品奖励](4560003,1);</t>
  </si>
  <si>
    <t>1=[活动活跃度奖励](4);1=[活动物品奖励](4801001,1);1=[活动物品奖励](4801002,1);1=[活动物品奖励](4560003,1);</t>
  </si>
  <si>
    <t>10</t>
  </si>
  <si>
    <t>1.跑环任务，每天10环。\n2.使用探测器，可以探测到世界各地的圣物。\n3.前往挖据圣物，可以获得奖励，并且有几率触发圣物之灵。</t>
  </si>
  <si>
    <t>巨龙战场</t>
  </si>
  <si>
    <t>巨龙战场为12V12的阵营战场。17：00-17：30、21：00-21：30开启，每天可参加2次。</t>
  </si>
  <si>
    <t>(42,120)</t>
  </si>
  <si>
    <t>(17,00);(21,00)</t>
  </si>
  <si>
    <t>0=[完成随机副本](5,1)</t>
  </si>
  <si>
    <t>[同一阵营]=1;[活动重置方式]=1;</t>
  </si>
  <si>
    <t>[活动物品奖励](4801015,1);</t>
  </si>
  <si>
    <t>1=[活动物品奖励](4801015,1);</t>
  </si>
  <si>
    <t>荣誉</t>
  </si>
  <si>
    <t>每天17：00-17：30、21：00-21：30</t>
  </si>
  <si>
    <t>击杀敌方首领，赢得战场胜利</t>
  </si>
  <si>
    <t>1.巨龙战场为12V12的阵营战场，每天可参加2次。组队参加的玩家必须为同一个阵营。\n2.每天17：00-17：30、21：00-21：30开启。\n3.击败敌方首领，获得胜利。\n4.首领拥有护盾时，不可被攻击。\n5.占领据点，可以不断地为己方首领充能。\n6.击杀敌方玩家，可以为己方首领充能。\n7.首领能量达到100时，会击破敌方首领护盾，使其可以被攻击30秒。\n8.占领据点和击杀敌对玩家可获得积分，积分越高，奖励越好。</t>
  </si>
  <si>
    <t>荣誉之战</t>
  </si>
  <si>
    <t>不管是魔法之光还是复仇之怒，我们只是为了生存而战。即使战死，也要维护我们的信仰！击败敌人，为荣誉而战！</t>
  </si>
  <si>
    <t>0=[任务组完成](3,1);</t>
  </si>
  <si>
    <t>[荣誉之战活动]</t>
  </si>
  <si>
    <t>[活动活跃度奖励](5);[活动物品奖励](4801001,1);[活动物品奖励](4801015,1);</t>
  </si>
  <si>
    <t>1=[活动活跃度奖励](5);1=[活动物品奖励](4801001,1);1=[活动物品奖励](4801015,1);</t>
  </si>
  <si>
    <t>1736;1737</t>
  </si>
  <si>
    <t>1.循环任务，每天5环。\n2.在任意地图击杀敌对阵营玩家可完成任务，获得荣誉值和经验奖励。\n3.推荐在巨龙战场中完成。</t>
  </si>
  <si>
    <t>试炼场</t>
  </si>
  <si>
    <t>在您最需要经验的时候进入训练场试炼，随时进出，每天30分钟，剩余时间永久保留。</t>
  </si>
  <si>
    <t>(40,120)</t>
  </si>
  <si>
    <t>0=[完成随机副本](2,1)</t>
  </si>
  <si>
    <t>[试炼场活动]</t>
  </si>
  <si>
    <t>[活动物品奖励](4801001,1);[活动物品奖励](4801003,1);</t>
  </si>
  <si>
    <t>1=[活动物品奖励](4801001,1);1=[活动物品奖励](4801003,1);</t>
  </si>
  <si>
    <t>挂机获得海量经验，随时进出</t>
  </si>
  <si>
    <t>1.支付一张门票，可进入试炼场训练30分钟。\n2.可随时进出试炼场，剩余时间保留。\n3.隔天进入试炼场需要再次支付门票。之前剩余的训练时间最多可保留210分钟。\n4.试炼场可以获得大量经验和道具奖励。\n5.试炼时间结束，可获得额外奖励。</t>
  </si>
  <si>
    <t>公会要务</t>
  </si>
  <si>
    <t>你的公会要务繁多，官员们已经快累趴下了，作为公会成员，你必须加入他们的行列，为公会减轻负担。</t>
  </si>
  <si>
    <t>0=[任务完成](3218,1);</t>
  </si>
  <si>
    <t>条件计数=0(1);[是否检查战斗状态]=0</t>
  </si>
  <si>
    <t>[公会活动]</t>
  </si>
  <si>
    <t>[活动活跃度奖励](4);[活动物品奖励](4801016,1);</t>
  </si>
  <si>
    <t>1=[活动活跃度奖励](4);1=[活动物品奖励](4801016,1);</t>
  </si>
  <si>
    <t>公会贡献</t>
  </si>
  <si>
    <t>[工会日常]=1</t>
  </si>
  <si>
    <t>11</t>
  </si>
  <si>
    <t>1.跑环任务，每天7环。\n2.完成最后一环会获得大量奖励。</t>
  </si>
  <si>
    <t>替公会解决繁杂要务，获得贡献值</t>
  </si>
  <si>
    <t>1V1排位赛</t>
  </si>
  <si>
    <t>维京女祭司奥蕾莉亚在永生龙殿的至高竞技场主持着勇士试炼，维京人的理念中，你只有独自战胜对手，才能进入至高无上的英灵殿！</t>
  </si>
  <si>
    <t>0=[完成随机副本](6,1)</t>
  </si>
  <si>
    <t>[活动物品奖励](4800003,1);</t>
  </si>
  <si>
    <t>1=[活动物品奖励](4800003,1);</t>
  </si>
  <si>
    <t>钻石</t>
  </si>
  <si>
    <t>12</t>
  </si>
  <si>
    <t>1.在至高竞技场对其他玩家发起挑战，每天可免费挑战10次。\n2.在竞技场中击败对方，可替代其排位，获得钻石奖励。\n3.战斗胜利，可免费开启两个结算宝箱、失败，可免费开启一个结算宝箱。\n4.免费挑战次数使用完后，可以购买5次额外挑战次数。\n5.每日20：00，会根据1V1排行榜发放排行榜奖励。</t>
  </si>
  <si>
    <t>在线挂机</t>
  </si>
  <si>
    <t>前往自己适合的野外挂机地点，击杀怪物获取经验、道具。</t>
  </si>
  <si>
    <t>[活动物品奖励](4801001,1);</t>
  </si>
  <si>
    <t>1=[活动物品奖励](4801001,1);</t>
  </si>
  <si>
    <t>经验装备</t>
  </si>
  <si>
    <t>挂机获得经验和道具</t>
  </si>
  <si>
    <t>1.前往符合自己等级段的野外挂机地点，击杀怪物获取经验、道具。\n2.等级段分为：30-40、41-50、51-55、56-60、61-65、66-70、71-75、76-80、81-85、86-90、91-100。\n3.击杀高于自身等级的怪物会受到等级压制，对怪物造成的伤害降低、受到的怪物伤害增加。</t>
  </si>
  <si>
    <t>巅峰榜</t>
  </si>
  <si>
    <t>每日20：00，巅峰榜荣耀开启，光之荣誉、怒之荣誉、耐拉斯尖塔和4V4四个排行榜第一的玩家将荣登巅峰榜，受所有玩家的景仰。</t>
  </si>
  <si>
    <t>(20,120)</t>
  </si>
  <si>
    <t>0=[巅峰榜点赞](1);</t>
  </si>
  <si>
    <t>[是否检查战斗状态]=0</t>
  </si>
  <si>
    <t>[活动物品奖励](4801001,1);[活动物品奖励](4904001,1);[活动物品奖励](4801043,1);[活动物品奖励](4603001,1);</t>
  </si>
  <si>
    <t>1=[活动物品奖励](4801001,1);1=[活动物品奖励](4904001,1);1=[活动物品奖励](4801043,1);1=[活动物品奖励](4603001,1);</t>
  </si>
  <si>
    <t>经验占卜</t>
  </si>
  <si>
    <t>每天20：00-20：30</t>
  </si>
  <si>
    <t>点赞获得经验和占卜券</t>
  </si>
  <si>
    <t>1.每日20：00，排行榜会发放每日奖励，同时巅峰榜荣耀开启，光之荣誉、怒之荣誉、耐拉斯尖塔和4V4四个排行榜第一的玩家将荣登巅峰榜。\n2.所有玩家可以给这四个玩家点赞，点赞可以获得大量经验和符文占卜券。\n3.20：30，巅峰榜将结算，获得点赞数第一的玩家，可获得巅峰王者称号和翅膀。</t>
  </si>
  <si>
    <t>邪恶地牢</t>
  </si>
  <si>
    <t>1.玩家每天可以获得3次地牢首领击杀奖励。\n2.邪恶地牢分为5层，等级划分为：34-55、60-68、70-78、80-88、90-98。玩家必须达到对应等级才能进入相应的层。\n3.每层有5个首领，等级逐渐提升。\n4.首先对首领造成伤害的玩家或者队伍，在首领死亡时可以获得奖励。\n5.首领死亡后，刷新时间各不相同。</t>
  </si>
  <si>
    <t>永恒天牢</t>
  </si>
  <si>
    <t>1.VIP4以上玩家才可进入永恒天牢。\n2.玩家每天可以获得无限次天牢首领击杀奖励。\n3.永恒天牢分为5层，等级划分为：34-55（VIP4）、40-60（VIP5）、55-80（VIP6）、75-88（VIP7）、90-98（VIP8）。玩家必须达到对应等级和VIP等级才能进入相应的层。\n4.VIP等级不足，可花费金钻进入。\n5.每层有5个首领，等级逐渐提升。\n6.首先对首领造成伤害的玩家或者队伍，在首领死亡时可以获得奖励。\n7.首领死亡后，刷新时间各不相同。</t>
  </si>
  <si>
    <t>远古逃犯</t>
  </si>
  <si>
    <t>1.玩家每天可以获得无限次远古逃犯首领击杀奖励。\n2.远古逃犯会随机刷新在世界各地。\n3.首先对首领造成伤害的玩家或者队伍，在首领死亡时可以获得奖励。\n4.只有击杀自己等级段的首领才会获得奖励。\n5.首领死亡后，刷新时间各不相同。</t>
  </si>
  <si>
    <t>圣物之灵</t>
  </si>
  <si>
    <t>1.玩家在进行考古专家任务时，有几率触发圣物之灵。\n2.圣物之灵分布在世界各地，玩家可以前往争夺。\n3.圣物之灵刷新后，只存在15分钟。\n4.圣物之灵奖励归属于对生物之灵造成第一次伤害的玩家或者队伍。</t>
  </si>
  <si>
    <t>艾欧之影</t>
  </si>
  <si>
    <t>1.艾欧会随机时间出现在艾欧神殿中。\n2.40级以上玩家均可前往击杀。\n3.艾欧死亡时，按照玩家对她造成的伤害排名发放奖励，排名越高，奖励越好。\n4.排名前10的玩家可以获得额外奖励。排名10以下的玩家可以获得参与奖励。</t>
  </si>
  <si>
    <t>黄金海岸</t>
  </si>
  <si>
    <t>无论春夏秋冬，黄金海岸作为地精的度假圣地，永远是夏日炎炎，金色的海滩，蓝色的大海，在这里，你犹如置身天堂，尽情享受午休的美好时光。</t>
  </si>
  <si>
    <t>(12,00)</t>
  </si>
  <si>
    <t>[活动物品奖励](4800003,1);[活动物品奖励](4801001,1);[活动物品奖励](4901110,1);</t>
  </si>
  <si>
    <t>1=[活动物品奖励](4800003,1);1=[活动物品奖励](4801001,1);1=[活动物品奖励](4901110,1);</t>
  </si>
  <si>
    <t>2=[活动物品奖励](4800003,1);2=[活动物品奖励](4801001,1);2=[活动物品奖励](4902110,1);</t>
  </si>
  <si>
    <t>3=[活动物品奖励](4800003,1);3=[活动物品奖励](4801001,1);3=[活动物品奖励](4902110,1);</t>
  </si>
  <si>
    <t>4=[活动物品奖励](4800003,1);4=[活动物品奖励](4801001,1);4=[活动物品奖励](4903110,1);</t>
  </si>
  <si>
    <t>5=[活动物品奖励](4800003,1);5=[活动物品奖励](4801001,1);5=[活动物品奖励](4903110,1);</t>
  </si>
  <si>
    <t>每天12：00-12：30</t>
  </si>
  <si>
    <t>休闲度假，经验宝藏开心拿</t>
  </si>
  <si>
    <t>1.每天12：00-12：30开启。\n2.在黄金海岸度假，会持续获得经验奖励。\n3.使用各种饮品或者聘请服务员，可以获得经验加成。\n4.小心可怕的大鲨鱼，它会吃了你，但击败它，会有大量奖励。</t>
  </si>
  <si>
    <t>瓦解敌人</t>
  </si>
  <si>
    <t>两个阵营在巨龙沙洲的战斗进入白热化，复仇之怒制造了战争咆哮者加入战斗，同时魔法之光也召唤了魔法聚变体进行反击，瓦解对方的战争机器，夺得主动权！</t>
  </si>
  <si>
    <t>(19,30)</t>
  </si>
  <si>
    <t>0=[完成随机副本](8,1)</t>
  </si>
  <si>
    <t>[活动物品奖励](4800003,1);[活动物品奖励](4801001,1);[活动物品奖励](4801015,1);</t>
  </si>
  <si>
    <t>1=[活动物品奖励](4800003,1);1=[活动物品奖励](4801001,1);1=[活动物品奖励](4801015,1);</t>
  </si>
  <si>
    <t>每天19：30-20：00</t>
  </si>
  <si>
    <t>击败敌方战争机器，赢得荣誉</t>
  </si>
  <si>
    <t>1.每天19：30-20：00开启。\n2.双方阵营的战争机器会出现在巨龙战场中，击败敌方战争机器，便可完成任务，获得奖励。\n3.每天只能完成1次。</t>
  </si>
  <si>
    <t>荣耀试炼</t>
  </si>
  <si>
    <t>公会主宰荣耀之王卡尔文对所有公会成员发起了一场试炼，你们必须团结起来，战胜荣耀之王，才能证明公会的强！召集所有公会成员，一起战斗吧！</t>
  </si>
  <si>
    <t>(19,00)</t>
  </si>
  <si>
    <t>0=[任务完成](115,1);</t>
  </si>
  <si>
    <t>[活动物品奖励](4801016,1);</t>
  </si>
  <si>
    <t>1=[活动物品奖励](4801016,1);</t>
  </si>
  <si>
    <t>每天19：00-19：30</t>
  </si>
  <si>
    <t>公会首领战</t>
  </si>
  <si>
    <t>1.每天19：00-19：30开启。\n2.所有公会成员均回到荣耀大厅参加。\n3.团结一致，击败荣耀之王卡尔文，获取荣耀嘉奖。</t>
  </si>
  <si>
    <t>挑战荣耀之王，获取贡献值</t>
  </si>
  <si>
    <t>40级秘境</t>
  </si>
  <si>
    <t>0=[活动物品奖励](4801010,1);0=[活动物品奖励](1102061,1);0=[活动物品奖励](1102062,1);0=[活动物品奖励](1102064,1);</t>
  </si>
  <si>
    <t>1=[活动物品奖励](4801010,1);1=[活动物品奖励](1102061,1);1=[活动物品奖励](1102062,1);1=[活动物品奖励](1102064,1);</t>
  </si>
  <si>
    <t>2=[活动物品奖励](4801010,1);2=[活动物品奖励](1202061,1);2=[活动物品奖励](1202062,1);2=[活动物品奖励](1202064,1);</t>
  </si>
  <si>
    <t>3=[活动物品奖励](4801010,1);3=[活动物品奖励](1202061,1);3=[活动物品奖励](1202062,1);3=[活动物品奖励](1202064,1);</t>
  </si>
  <si>
    <t>4=[活动物品奖励](4801010,1);4=[活动物品奖励](1302061,1);4=[活动物品奖励](1302062,1);4=[活动物品奖励](1302064,1);</t>
  </si>
  <si>
    <t>5=[活动物品奖励](4801010,1);5=[活动物品奖励](1302061,1);5=[活动物品奖励](1302062,1);5=[活动物品奖励](1302064,1);</t>
  </si>
  <si>
    <t>获得2阶远古装备</t>
  </si>
  <si>
    <t>60级秘境</t>
  </si>
  <si>
    <t>(60,120)</t>
  </si>
  <si>
    <t>0=[活动物品奖励](4801010,1);0=[活动物品奖励](1103061,1);0=[活动物品奖励](1103062,1);0=[活动物品奖励](1103064,1);</t>
  </si>
  <si>
    <t>1=[活动物品奖励](4801010,1);1=[活动物品奖励](1103061,1);1=[活动物品奖励](1103062,1);1=[活动物品奖励](1103064,1);</t>
  </si>
  <si>
    <t>2=[活动物品奖励](4801010,1);2=[活动物品奖励](1203061,1);2=[活动物品奖励](1203062,1);2=[活动物品奖励](1203064,1);</t>
  </si>
  <si>
    <t>3=[活动物品奖励](4801010,1);3=[活动物品奖励](1203061,1);3=[活动物品奖励](1203062,1);3=[活动物品奖励](1203064,1);</t>
  </si>
  <si>
    <t>4=[活动物品奖励](4801010,1);4=[活动物品奖励](1303061,1);4=[活动物品奖励](1303062,1);4=[活动物品奖励](1303064,1);</t>
  </si>
  <si>
    <t>5=[活动物品奖励](4801010,1);5=[活动物品奖励](1303061,1);5=[活动物品奖励](1303062,1);5=[活动物品奖励](1303064,1);</t>
  </si>
  <si>
    <t>获得3阶远古装备</t>
  </si>
  <si>
    <t>80级秘境</t>
  </si>
  <si>
    <t>(80,120)</t>
  </si>
  <si>
    <t>0=[活动物品奖励](4801010,1);0=[活动物品奖励](1104061,1);0=[活动物品奖励](1104062,1);0=[活动物品奖励](1104064,1);</t>
  </si>
  <si>
    <t>1=[活动物品奖励](4801010,1);1=[活动物品奖励](1104061,1);1=[活动物品奖励](1104062,1);1=[活动物品奖励](1104064,1);</t>
  </si>
  <si>
    <t>2=[活动物品奖励](4801010,1);2=[活动物品奖励](1204061,1);2=[活动物品奖励](1204062,1);2=[活动物品奖励](1204064,1);</t>
  </si>
  <si>
    <t>3=[活动物品奖励](4801010,1);3=[活动物品奖励](1204061,1);3=[活动物品奖励](1204062,1);3=[活动物品奖励](1204064,1);</t>
  </si>
  <si>
    <t>4=[活动物品奖励](4801010,1);4=[活动物品奖励](1304061,1);4=[活动物品奖励](1304062,1);4=[活动物品奖励](1304064,1);</t>
  </si>
  <si>
    <t>5=[活动物品奖励](4801010,1);5=[活动物品奖励](1304061,1);5=[活动物品奖励](1304062,1);5=[活动物品奖励](1304064,1);</t>
  </si>
  <si>
    <t>获得4阶远古装备</t>
  </si>
  <si>
    <t>90级秘境</t>
  </si>
  <si>
    <t>(90,120)</t>
  </si>
  <si>
    <t>0=[活动物品奖励](4801010,1);0=[活动物品奖励](1105061,1);0=[活动物品奖励](1105062,1);0=[活动物品奖励](1105064,1);</t>
  </si>
  <si>
    <t>1=[活动物品奖励](4801010,1);1=[活动物品奖励](1105061,1);1=[活动物品奖励](1105062,1);1=[活动物品奖励](1105064,1);</t>
  </si>
  <si>
    <t>2=[活动物品奖励](4801010,1);2=[活动物品奖励](1205061,1);2=[活动物品奖励](1205062,1);2=[活动物品奖励](1205064,1);</t>
  </si>
  <si>
    <t>3=[活动物品奖励](4801010,1);3=[活动物品奖励](1205061,1);3=[活动物品奖励](1205062,1);3=[活动物品奖励](1205064,1);</t>
  </si>
  <si>
    <t>4=[活动物品奖励](4801010,1);4=[活动物品奖励](1305061,1);4=[活动物品奖励](1305062,1);4=[活动物品奖励](1305064,1);</t>
  </si>
  <si>
    <t>5=[活动物品奖励](4801010,1);5=[活动物品奖励](1305061,1);5=[活动物品奖励](1305062,1);5=[活动物品奖励](1305064,1);</t>
  </si>
  <si>
    <t>获得5阶远古装备</t>
  </si>
  <si>
    <t>装备排行榜</t>
  </si>
  <si>
    <t>(10,120)</t>
  </si>
  <si>
    <t>[首次开服活动]</t>
  </si>
  <si>
    <t>[是否显示]=0;</t>
  </si>
  <si>
    <t>符文排行榜</t>
  </si>
  <si>
    <t>坐骑排行榜</t>
  </si>
  <si>
    <t>翅膀排行榜</t>
  </si>
  <si>
    <t>圣物排行榜</t>
  </si>
  <si>
    <t>龙魂排行榜</t>
  </si>
  <si>
    <t>守护排行榜</t>
  </si>
  <si>
    <t>永恒秘境</t>
  </si>
  <si>
    <t>扭曲时空的中心地带，永恒存在的秘境，无人知晓里面隐藏了多少秘密和宝藏，随着时间洪流消失在历史的那一刹那，只有无比强大的人才能探知这无尽的奥秘。</t>
  </si>
  <si>
    <t>0=[进入副本](50314,1)</t>
  </si>
  <si>
    <t>0=[活动物品奖励](4801016,1);0=[活动物品奖励](4105021,1);0=[活动物品奖励](4105020,1);0=[活动物品奖励](4801002,1);</t>
  </si>
  <si>
    <t>公会的集结</t>
  </si>
  <si>
    <t>[检查等级](15);</t>
  </si>
  <si>
    <t>荣耀之翼</t>
  </si>
  <si>
    <t>提升符文的力量</t>
  </si>
  <si>
    <t>[检查等级](16);</t>
  </si>
  <si>
    <t>提升装备的品质</t>
  </si>
  <si>
    <t>[检查等级](18);</t>
  </si>
  <si>
    <t>[检查等级](21);[检查阵营](1);</t>
  </si>
  <si>
    <t>[检查等级](21);[检查阵营](2);</t>
  </si>
  <si>
    <t>进化符文</t>
  </si>
  <si>
    <t>[检查等级](22);</t>
  </si>
  <si>
    <t>竞技场的召唤</t>
  </si>
  <si>
    <t>[检查等级](25);</t>
  </si>
  <si>
    <t>竞技试炼</t>
  </si>
  <si>
    <t>黑龙的宝藏</t>
  </si>
  <si>
    <t>赏金猎人的交易</t>
  </si>
  <si>
    <t>[检查等级](27);</t>
  </si>
  <si>
    <t>龙魂的力量</t>
  </si>
  <si>
    <t>[检查等级](34);</t>
  </si>
  <si>
    <t>至高竞技场</t>
  </si>
  <si>
    <t>[检查等级](36);</t>
  </si>
  <si>
    <t>风之牧场</t>
  </si>
  <si>
    <t>[检查等级](38);</t>
  </si>
  <si>
    <t>前往牧场</t>
  </si>
  <si>
    <t>神奇的实验</t>
  </si>
  <si>
    <t>变异的坐骑</t>
  </si>
  <si>
    <t>牧草之战</t>
  </si>
  <si>
    <t>变异吧，宝贝！</t>
  </si>
  <si>
    <t>传奇符文</t>
  </si>
  <si>
    <t>[检查等级](40);</t>
  </si>
  <si>
    <t>[检查等级](40);[检查阵营](1);</t>
  </si>
  <si>
    <t>[检查等级](40);[检查阵营](2);</t>
  </si>
  <si>
    <t>龙魂之心</t>
  </si>
  <si>
    <t>[检查等级](43);</t>
  </si>
  <si>
    <t>魔法位面告急</t>
  </si>
  <si>
    <t>[检查等级](45);</t>
  </si>
  <si>
    <t>洗炼的力量</t>
  </si>
  <si>
    <t>丢失的铸铁</t>
  </si>
  <si>
    <t>[检查等级](47);</t>
  </si>
  <si>
    <t>寻回铸铁</t>
  </si>
  <si>
    <t>交还铸铁</t>
  </si>
  <si>
    <t>战甲锻造</t>
  </si>
  <si>
    <t>进化翅膀</t>
  </si>
  <si>
    <t>[检查等级](50);</t>
  </si>
  <si>
    <t>战甲聚魂</t>
  </si>
  <si>
    <t>[检查等级](55);</t>
  </si>
  <si>
    <t>龙心洗炼</t>
  </si>
  <si>
    <t>[检查等级](60);</t>
  </si>
  <si>
    <t>奖励内容</t>
  </si>
  <si>
    <t>符石</t>
  </si>
  <si>
    <t>符文碎片</t>
  </si>
  <si>
    <t>装备强化石</t>
  </si>
  <si>
    <t>风之速运</t>
  </si>
  <si>
    <t>魔法牧草</t>
  </si>
  <si>
    <t>变异精华</t>
  </si>
  <si>
    <t>龙魂精华</t>
  </si>
  <si>
    <t>高级龙魂精华</t>
  </si>
  <si>
    <t>特级龙魂精华</t>
  </si>
  <si>
    <t>龙晶</t>
  </si>
  <si>
    <t>套装精炼石</t>
  </si>
  <si>
    <t>武器套装石</t>
  </si>
  <si>
    <t>防具套装石</t>
  </si>
  <si>
    <t>饰品套装石</t>
  </si>
  <si>
    <t>牧场之战</t>
  </si>
  <si>
    <t>战甲铸铁</t>
  </si>
  <si>
    <t>坐骑装备</t>
  </si>
  <si>
    <t>时光秘境</t>
  </si>
  <si>
    <t>热浪风情时装外观</t>
  </si>
  <si>
    <t>至高宝藏</t>
  </si>
  <si>
    <t>生存者游戏</t>
  </si>
  <si>
    <t>巅峰币</t>
  </si>
  <si>
    <t>祝福羽毛</t>
  </si>
  <si>
    <t>荣耀之巅</t>
  </si>
  <si>
    <t>传说羽翅</t>
  </si>
  <si>
    <t>躲避球大赛</t>
  </si>
  <si>
    <t>战神</t>
  </si>
  <si>
    <t>4V4黄金赛</t>
  </si>
  <si>
    <t>10万经验券</t>
  </si>
  <si>
    <t>拂晓之战</t>
  </si>
  <si>
    <t>拘灵契约</t>
  </si>
  <si>
    <t>契约神印</t>
  </si>
  <si>
    <t>躲避球天梯赛</t>
  </si>
  <si>
    <t>活跃度</t>
  </si>
  <si>
    <t>离线卡</t>
  </si>
  <si>
    <t>公会竞猜</t>
  </si>
  <si>
    <t>公会试炼</t>
  </si>
  <si>
    <t>公会遇袭</t>
  </si>
  <si>
    <t>公会之战</t>
  </si>
  <si>
    <t>跨服阵营战</t>
  </si>
  <si>
    <t>精致羽毛</t>
  </si>
  <si>
    <t>瘟疫卡姆外观</t>
  </si>
  <si>
    <t>火龙焰魄碎片</t>
  </si>
  <si>
    <t>小丑之王</t>
  </si>
  <si>
    <t>海滩拾贝</t>
  </si>
  <si>
    <t>守护结晶</t>
  </si>
  <si>
    <t>守护神钻</t>
  </si>
  <si>
    <t>翅膀外观</t>
  </si>
  <si>
    <t>骸骨龙翼</t>
  </si>
  <si>
    <t>恶魔之翼</t>
  </si>
  <si>
    <t>霸王机甲</t>
  </si>
  <si>
    <t>幻蓝之翼</t>
  </si>
  <si>
    <t>魔神之翼</t>
  </si>
  <si>
    <t>魔法羽粉</t>
  </si>
  <si>
    <t>守护外观</t>
  </si>
  <si>
    <t>亡灵守护</t>
  </si>
  <si>
    <t>艾欧守护</t>
  </si>
  <si>
    <t>科技守护</t>
  </si>
  <si>
    <t>灾焰守护</t>
  </si>
  <si>
    <t>圣石守护</t>
  </si>
  <si>
    <t>生命之石</t>
  </si>
  <si>
    <t>个人BOSS</t>
  </si>
  <si>
    <t>赤影巴恩外观</t>
  </si>
  <si>
    <t>奥法飞毯外观</t>
  </si>
  <si>
    <t>冰霜蓝龙外观</t>
  </si>
  <si>
    <t>收割猎手时装外观</t>
  </si>
  <si>
    <t>收割猎手武器外观</t>
  </si>
  <si>
    <t>厄瑞克·胡兹</t>
  </si>
  <si>
    <t>神域</t>
  </si>
  <si>
    <t>0=[活动物品奖励](4800046,1);0=[活动物品奖励](4105030,1);0=[活动物品奖励](4105031,1);0=[活动物品奖励](4105040,1);0=[活动物品奖励](4105041,1);0=[活动物品奖励](4105035,1);</t>
  </si>
  <si>
    <t>赛季挑战</t>
    <phoneticPr fontId="4" type="noConversion"/>
  </si>
  <si>
    <t>赛季挑战-第1周</t>
    <phoneticPr fontId="4" type="noConversion"/>
  </si>
  <si>
    <t>赛季挑战-第2周</t>
    <phoneticPr fontId="4" type="noConversion"/>
  </si>
  <si>
    <t>赛季挑战-第3周</t>
  </si>
  <si>
    <t>赛季挑战-第4周</t>
  </si>
  <si>
    <t>赛季挑战-第5周</t>
  </si>
  <si>
    <t>赛季挑战-第6周</t>
  </si>
  <si>
    <t>赛季挑战-第7周</t>
  </si>
  <si>
    <t>赛季挑战-第8周</t>
  </si>
  <si>
    <t>#活动开放的日期(填写示例：1每日开放的活动：[每日活动]、2每周开放的活动：[每周活动](指定周几)、3每月开放活动：[每月活动](指定日期)。指定周几填写0-6表示周日到周六，指定日期填写1-31表示具体的日期)、4每年开放的活动:[每年活动](指定日期).指定月份填写1-12表示1月到12月,指定日期填写表示具体的日期);5[跨周活动](开始的第N周,跨N周,周几开)</t>
    <phoneticPr fontId="4" type="noConversion"/>
  </si>
  <si>
    <t>[每年活动](3,7)</t>
    <phoneticPr fontId="4" type="noConversion"/>
  </si>
  <si>
    <t>[每年活动](3,7)</t>
    <phoneticPr fontId="4" type="noConversion"/>
  </si>
  <si>
    <t>[每年活动](3,14)</t>
    <phoneticPr fontId="4" type="noConversion"/>
  </si>
  <si>
    <t>[每年活动](3,21)</t>
    <phoneticPr fontId="4" type="noConversion"/>
  </si>
  <si>
    <t>[每年活动](3,29)</t>
    <phoneticPr fontId="4" type="noConversion"/>
  </si>
  <si>
    <t>[每年活动](4,6)</t>
    <phoneticPr fontId="4" type="noConversion"/>
  </si>
  <si>
    <t>[每年活动](4,13)</t>
    <phoneticPr fontId="4" type="noConversion"/>
  </si>
  <si>
    <t>[每年活动](4,20)</t>
    <phoneticPr fontId="4" type="noConversion"/>
  </si>
  <si>
    <t>[每年活动](4,27)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</si>
</sst>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sz val="9"/>
      <color rgb="FFFF000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  <fill>
      <patternFill patternType="solid">
        <fgColor theme="4" tint="0.3966490676595355"/>
        <bgColor rgb="FFFFFFFF"/>
      </patternFill>
    </fill>
    <fill>
      <patternFill patternType="solid">
        <fgColor theme="4" tint="0.3966490676595355"/>
        <bgColor indexed="64"/>
      </patternFill>
    </fill>
    <fill>
      <patternFill patternType="solid">
        <fgColor theme="4" tint="0.3966490676595355"/>
        <bgColor theme="4" tint="0.3966490676595355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3" borderId="0" xfId="0" applyNumberFormat="1" applyFont="1" applyFill="1" applyAlignment="1">
      <alignment horizontal="center" vertical="center" wrapText="1"/>
    </xf>
    <xf numFmtId="0" fontId="1" fillId="0" borderId="0" xfId="1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3" borderId="0" xfId="1" applyFont="1" applyFill="1" applyAlignment="1">
      <alignment horizontal="center" vertical="center" wrapText="1"/>
    </xf>
    <xf numFmtId="49" fontId="1" fillId="0" borderId="0" xfId="1" applyNumberFormat="1" applyFont="1" applyAlignment="1">
      <alignment horizontal="center" vertical="center" wrapText="1"/>
    </xf>
    <xf numFmtId="0" fontId="1" fillId="0" borderId="0" xfId="1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 wrapText="1"/>
    </xf>
    <xf numFmtId="3" fontId="1" fillId="0" borderId="0" xfId="0" applyNumberFormat="1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2">
    <cellStyle name="常规" xfId="0" builtinId="0"/>
    <cellStyle name="常规 2" xfId="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tabSelected="1" topLeftCell="H4" workbookViewId="0">
      <selection activeCell="M13" sqref="M13"/>
    </sheetView>
  </sheetViews>
  <sheetFormatPr defaultColWidth="9" defaultRowHeight="36" customHeight="1" x14ac:dyDescent="0.15"/>
  <cols>
    <col min="1" max="1" width="18.375" style="7" bestFit="1" customWidth="1"/>
    <col min="2" max="3" width="19.625" style="7" customWidth="1"/>
    <col min="4" max="4" width="33.625" style="7" customWidth="1"/>
    <col min="5" max="8" width="23.375" style="7" customWidth="1"/>
    <col min="9" max="9" width="22.625" style="9" customWidth="1"/>
    <col min="10" max="10" width="15.875" style="9" customWidth="1"/>
    <col min="11" max="12" width="24.25" style="9" customWidth="1"/>
    <col min="13" max="13" width="33.375" style="7" customWidth="1"/>
    <col min="14" max="14" width="33.375" style="9" customWidth="1"/>
    <col min="15" max="15" width="33.375" style="7" customWidth="1"/>
    <col min="16" max="16" width="13.625" style="7" customWidth="1"/>
    <col min="17" max="17" width="13.125" style="7" customWidth="1"/>
    <col min="18" max="18" width="14" style="7" customWidth="1"/>
    <col min="19" max="19" width="38.75" style="7" customWidth="1"/>
    <col min="20" max="20" width="14.25" style="7" customWidth="1"/>
    <col min="21" max="22" width="49.875" style="7" customWidth="1"/>
    <col min="23" max="23" width="30.625" style="7" customWidth="1"/>
    <col min="24" max="26" width="40.25" style="7" customWidth="1"/>
    <col min="27" max="27" width="32.375" style="4" customWidth="1"/>
    <col min="28" max="30" width="29.875" style="7" customWidth="1"/>
    <col min="31" max="31" width="15.25" style="7" customWidth="1"/>
    <col min="32" max="32" width="19.375" style="7" customWidth="1"/>
    <col min="33" max="33" width="11.875" style="7" customWidth="1"/>
    <col min="34" max="34" width="11.5" style="7" customWidth="1"/>
    <col min="35" max="35" width="7.5" style="7" customWidth="1"/>
    <col min="36" max="36" width="10" style="7" customWidth="1"/>
    <col min="37" max="37" width="14.625" style="7" customWidth="1"/>
    <col min="38" max="16384" width="9" style="7"/>
  </cols>
  <sheetData>
    <row r="1" spans="1:37" ht="36" customHeight="1" x14ac:dyDescent="0.15">
      <c r="A1" s="7" t="s">
        <v>0</v>
      </c>
      <c r="B1" s="11" t="s">
        <v>0</v>
      </c>
      <c r="C1" s="7" t="s">
        <v>1</v>
      </c>
      <c r="D1" s="7" t="s">
        <v>1</v>
      </c>
      <c r="E1" s="7" t="s">
        <v>0</v>
      </c>
      <c r="F1" s="7" t="s">
        <v>0</v>
      </c>
      <c r="G1" s="7" t="s">
        <v>0</v>
      </c>
      <c r="H1" s="7" t="s">
        <v>0</v>
      </c>
      <c r="I1" s="9" t="s">
        <v>2</v>
      </c>
      <c r="J1" s="9" t="s">
        <v>2</v>
      </c>
      <c r="K1" s="7" t="s">
        <v>2</v>
      </c>
      <c r="L1" s="7" t="s">
        <v>0</v>
      </c>
      <c r="M1" s="7" t="s">
        <v>2</v>
      </c>
      <c r="N1" s="7" t="s">
        <v>2</v>
      </c>
      <c r="O1" s="7" t="s">
        <v>0</v>
      </c>
      <c r="P1" s="7" t="s">
        <v>0</v>
      </c>
      <c r="Q1" s="7" t="s">
        <v>0</v>
      </c>
      <c r="R1" s="7" t="s">
        <v>0</v>
      </c>
      <c r="S1" s="7" t="s">
        <v>2</v>
      </c>
      <c r="T1" s="7" t="s">
        <v>2</v>
      </c>
      <c r="U1" s="7" t="s">
        <v>2</v>
      </c>
      <c r="V1" s="7" t="s">
        <v>2</v>
      </c>
      <c r="W1" s="7" t="s">
        <v>2</v>
      </c>
      <c r="X1" s="7" t="s">
        <v>0</v>
      </c>
      <c r="Y1" s="7" t="s">
        <v>2</v>
      </c>
      <c r="Z1" s="7" t="s">
        <v>0</v>
      </c>
      <c r="AA1" s="4" t="s">
        <v>2</v>
      </c>
      <c r="AB1" s="7" t="s">
        <v>0</v>
      </c>
      <c r="AC1" s="7" t="s">
        <v>0</v>
      </c>
      <c r="AD1" s="7" t="s">
        <v>2</v>
      </c>
      <c r="AE1" s="7" t="s">
        <v>0</v>
      </c>
      <c r="AF1" s="7" t="s">
        <v>2</v>
      </c>
      <c r="AG1" s="7" t="s">
        <v>0</v>
      </c>
      <c r="AH1" s="7" t="s">
        <v>0</v>
      </c>
      <c r="AI1" s="7" t="s">
        <v>0</v>
      </c>
      <c r="AJ1" s="7" t="s">
        <v>0</v>
      </c>
      <c r="AK1" s="7" t="s">
        <v>0</v>
      </c>
    </row>
    <row r="2" spans="1:37" ht="36" customHeight="1" x14ac:dyDescent="0.15">
      <c r="A2" s="7" t="s">
        <v>3</v>
      </c>
      <c r="B2" s="11" t="s">
        <v>4</v>
      </c>
      <c r="C2" s="7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7" t="s">
        <v>10</v>
      </c>
      <c r="I2" s="9" t="s">
        <v>11</v>
      </c>
      <c r="J2" s="9" t="s">
        <v>12</v>
      </c>
      <c r="K2" s="7" t="s">
        <v>13</v>
      </c>
      <c r="L2" s="7" t="s">
        <v>14</v>
      </c>
      <c r="M2" s="7" t="s">
        <v>15</v>
      </c>
      <c r="N2" s="7" t="s">
        <v>16</v>
      </c>
      <c r="O2" s="7" t="s">
        <v>17</v>
      </c>
      <c r="P2" s="7" t="s">
        <v>18</v>
      </c>
      <c r="Q2" s="7" t="s">
        <v>19</v>
      </c>
      <c r="R2" s="7" t="s">
        <v>20</v>
      </c>
      <c r="S2" s="7" t="s">
        <v>21</v>
      </c>
      <c r="T2" s="7" t="s">
        <v>22</v>
      </c>
      <c r="U2" s="7" t="s">
        <v>23</v>
      </c>
      <c r="V2" s="7" t="s">
        <v>24</v>
      </c>
      <c r="W2" s="7" t="s">
        <v>25</v>
      </c>
      <c r="X2" s="7" t="s">
        <v>26</v>
      </c>
      <c r="Y2" s="7" t="s">
        <v>27</v>
      </c>
      <c r="Z2" s="7" t="s">
        <v>28</v>
      </c>
      <c r="AA2" s="4" t="s">
        <v>29</v>
      </c>
      <c r="AB2" s="7" t="s">
        <v>30</v>
      </c>
      <c r="AC2" s="7" t="s">
        <v>31</v>
      </c>
      <c r="AD2" s="7" t="s">
        <v>32</v>
      </c>
      <c r="AE2" s="7" t="s">
        <v>33</v>
      </c>
      <c r="AF2" s="7" t="s">
        <v>34</v>
      </c>
      <c r="AG2" s="7" t="s">
        <v>35</v>
      </c>
      <c r="AH2" s="7" t="s">
        <v>36</v>
      </c>
      <c r="AI2" s="7" t="s">
        <v>37</v>
      </c>
      <c r="AJ2" s="7" t="s">
        <v>38</v>
      </c>
      <c r="AK2" s="7" t="s">
        <v>39</v>
      </c>
    </row>
    <row r="3" spans="1:37" s="8" customFormat="1" ht="36" customHeight="1" x14ac:dyDescent="0.15">
      <c r="A3" s="8" t="s">
        <v>40</v>
      </c>
      <c r="B3" s="14" t="s">
        <v>41</v>
      </c>
      <c r="C3" s="8" t="s">
        <v>42</v>
      </c>
      <c r="D3" s="8" t="s">
        <v>43</v>
      </c>
      <c r="E3" s="8" t="s">
        <v>44</v>
      </c>
      <c r="F3" s="8" t="s">
        <v>45</v>
      </c>
      <c r="G3" s="8" t="s">
        <v>46</v>
      </c>
      <c r="H3" s="8" t="s">
        <v>47</v>
      </c>
      <c r="I3" s="10" t="s">
        <v>48</v>
      </c>
      <c r="J3" s="10" t="s">
        <v>49</v>
      </c>
      <c r="K3" s="10" t="s">
        <v>50</v>
      </c>
      <c r="L3" s="10" t="s">
        <v>51</v>
      </c>
      <c r="M3" s="8" t="s">
        <v>52</v>
      </c>
      <c r="N3" s="10" t="s">
        <v>53</v>
      </c>
      <c r="O3" s="8" t="s">
        <v>54</v>
      </c>
      <c r="P3" s="8" t="s">
        <v>55</v>
      </c>
      <c r="Q3" s="8" t="s">
        <v>56</v>
      </c>
      <c r="R3" s="8" t="s">
        <v>57</v>
      </c>
      <c r="S3" s="8" t="s">
        <v>58</v>
      </c>
      <c r="T3" s="8" t="s">
        <v>59</v>
      </c>
      <c r="U3" s="8" t="s">
        <v>60</v>
      </c>
      <c r="V3" s="8" t="s">
        <v>61</v>
      </c>
      <c r="W3" s="8" t="s">
        <v>62</v>
      </c>
      <c r="X3" s="8" t="s">
        <v>63</v>
      </c>
      <c r="Y3" s="8" t="s">
        <v>64</v>
      </c>
      <c r="Z3" s="8" t="s">
        <v>65</v>
      </c>
      <c r="AA3" s="22" t="s">
        <v>66</v>
      </c>
      <c r="AB3" s="8" t="s">
        <v>67</v>
      </c>
      <c r="AC3" s="8" t="s">
        <v>68</v>
      </c>
      <c r="AD3" s="8" t="s">
        <v>69</v>
      </c>
      <c r="AE3" s="8" t="s">
        <v>70</v>
      </c>
      <c r="AF3" s="8" t="s">
        <v>71</v>
      </c>
      <c r="AG3" s="7" t="s">
        <v>72</v>
      </c>
      <c r="AH3" s="7" t="s">
        <v>73</v>
      </c>
      <c r="AI3" s="7" t="s">
        <v>74</v>
      </c>
      <c r="AJ3" s="7" t="s">
        <v>75</v>
      </c>
      <c r="AK3" s="19" t="s">
        <v>76</v>
      </c>
    </row>
    <row r="4" spans="1:37" s="9" customFormat="1" ht="36" customHeight="1" x14ac:dyDescent="0.15">
      <c r="A4" s="9" t="s">
        <v>77</v>
      </c>
      <c r="B4" s="15"/>
      <c r="C4" s="9" t="s">
        <v>78</v>
      </c>
      <c r="D4" s="9" t="s">
        <v>79</v>
      </c>
      <c r="E4" s="9" t="s">
        <v>80</v>
      </c>
      <c r="F4" s="9" t="s">
        <v>81</v>
      </c>
      <c r="G4" s="9" t="s">
        <v>82</v>
      </c>
      <c r="H4" s="9" t="s">
        <v>83</v>
      </c>
      <c r="I4" s="9" t="s">
        <v>84</v>
      </c>
      <c r="J4" s="9" t="s">
        <v>85</v>
      </c>
      <c r="K4" s="9" t="s">
        <v>86</v>
      </c>
      <c r="M4" s="9" t="s">
        <v>595</v>
      </c>
      <c r="N4" s="9" t="s">
        <v>88</v>
      </c>
      <c r="O4" s="9" t="s">
        <v>89</v>
      </c>
      <c r="P4" s="9" t="s">
        <v>90</v>
      </c>
      <c r="Q4" s="9" t="s">
        <v>91</v>
      </c>
      <c r="R4" s="9" t="s">
        <v>92</v>
      </c>
      <c r="S4" s="9" t="s">
        <v>93</v>
      </c>
      <c r="T4" s="9" t="s">
        <v>94</v>
      </c>
      <c r="U4" s="9" t="s">
        <v>95</v>
      </c>
      <c r="V4" s="9" t="s">
        <v>96</v>
      </c>
      <c r="W4" s="9" t="s">
        <v>97</v>
      </c>
      <c r="X4" s="7" t="s">
        <v>98</v>
      </c>
      <c r="Y4" s="7" t="s">
        <v>99</v>
      </c>
      <c r="Z4" s="7" t="s">
        <v>99</v>
      </c>
      <c r="AA4" s="4" t="s">
        <v>100</v>
      </c>
      <c r="AB4" s="7"/>
      <c r="AC4" s="7"/>
      <c r="AD4" s="7"/>
      <c r="AE4" s="7"/>
      <c r="AF4" s="7"/>
      <c r="AG4" s="7"/>
      <c r="AH4" s="7"/>
      <c r="AI4" s="7"/>
      <c r="AJ4" s="7"/>
      <c r="AK4" s="7"/>
    </row>
    <row r="5" spans="1:37" ht="36" customHeight="1" x14ac:dyDescent="0.15">
      <c r="A5" s="7">
        <v>1</v>
      </c>
      <c r="B5" s="11">
        <v>1</v>
      </c>
      <c r="C5" s="7" t="s">
        <v>101</v>
      </c>
      <c r="D5" s="7" t="s">
        <v>101</v>
      </c>
      <c r="E5" s="7">
        <v>1</v>
      </c>
      <c r="G5" s="7">
        <v>1</v>
      </c>
      <c r="H5" s="7">
        <v>-1</v>
      </c>
      <c r="K5" s="7"/>
      <c r="L5" s="7"/>
      <c r="M5" s="7" t="s">
        <v>102</v>
      </c>
      <c r="N5" s="7" t="s">
        <v>103</v>
      </c>
      <c r="O5" s="7">
        <f t="shared" ref="O5:O7" si="0">86400*7</f>
        <v>604800</v>
      </c>
      <c r="P5" s="7">
        <v>1</v>
      </c>
      <c r="Q5" s="7">
        <v>1</v>
      </c>
      <c r="R5" s="7">
        <v>1</v>
      </c>
      <c r="AA5" s="4" t="s">
        <v>104</v>
      </c>
    </row>
    <row r="6" spans="1:37" ht="36" customHeight="1" x14ac:dyDescent="0.15">
      <c r="A6" s="7">
        <v>2</v>
      </c>
      <c r="B6" s="11">
        <v>1</v>
      </c>
      <c r="C6" s="7" t="s">
        <v>105</v>
      </c>
      <c r="D6" s="7" t="s">
        <v>101</v>
      </c>
      <c r="E6" s="7">
        <v>1</v>
      </c>
      <c r="G6" s="7">
        <v>1</v>
      </c>
      <c r="H6" s="7">
        <v>-1</v>
      </c>
      <c r="K6" s="7"/>
      <c r="L6" s="7"/>
      <c r="M6" s="7" t="s">
        <v>102</v>
      </c>
      <c r="N6" s="7" t="s">
        <v>106</v>
      </c>
      <c r="O6" s="7">
        <f t="shared" si="0"/>
        <v>604800</v>
      </c>
      <c r="P6" s="7">
        <v>1</v>
      </c>
      <c r="Q6" s="7">
        <v>1</v>
      </c>
      <c r="R6" s="7">
        <v>1</v>
      </c>
      <c r="AA6" s="4" t="s">
        <v>104</v>
      </c>
    </row>
    <row r="7" spans="1:37" ht="36" customHeight="1" x14ac:dyDescent="0.15">
      <c r="A7" s="7">
        <v>3</v>
      </c>
      <c r="B7" s="11">
        <v>1</v>
      </c>
      <c r="C7" s="7" t="s">
        <v>107</v>
      </c>
      <c r="E7" s="7">
        <v>1</v>
      </c>
      <c r="G7" s="7">
        <v>1</v>
      </c>
      <c r="H7" s="7">
        <v>-1</v>
      </c>
      <c r="K7" s="7"/>
      <c r="L7" s="7"/>
      <c r="M7" s="7" t="s">
        <v>102</v>
      </c>
      <c r="N7" s="7" t="s">
        <v>106</v>
      </c>
      <c r="O7" s="7">
        <f t="shared" si="0"/>
        <v>604800</v>
      </c>
      <c r="P7" s="7">
        <v>1</v>
      </c>
      <c r="Q7" s="7">
        <v>1</v>
      </c>
      <c r="R7" s="7">
        <v>1</v>
      </c>
      <c r="AA7" s="4" t="s">
        <v>104</v>
      </c>
    </row>
    <row r="8" spans="1:37" ht="36" customHeight="1" x14ac:dyDescent="0.15">
      <c r="A8" s="7">
        <v>4</v>
      </c>
      <c r="B8" s="11">
        <v>1</v>
      </c>
      <c r="C8" s="7" t="s">
        <v>108</v>
      </c>
      <c r="E8" s="7">
        <v>7</v>
      </c>
      <c r="G8" s="7">
        <v>1</v>
      </c>
      <c r="H8" s="7">
        <v>-1</v>
      </c>
      <c r="K8" s="7"/>
      <c r="L8" s="7"/>
      <c r="M8" s="7" t="s">
        <v>109</v>
      </c>
      <c r="N8" s="7" t="s">
        <v>106</v>
      </c>
      <c r="O8" s="7">
        <v>86400</v>
      </c>
      <c r="P8" s="7">
        <v>1</v>
      </c>
      <c r="Q8" s="7">
        <v>1</v>
      </c>
      <c r="R8" s="7">
        <v>1</v>
      </c>
      <c r="AA8" s="4" t="s">
        <v>104</v>
      </c>
    </row>
    <row r="9" spans="1:37" ht="36" customHeight="1" x14ac:dyDescent="0.15">
      <c r="A9" s="7">
        <v>5</v>
      </c>
      <c r="B9" s="11">
        <v>1</v>
      </c>
      <c r="C9" s="7" t="s">
        <v>586</v>
      </c>
      <c r="E9" s="7">
        <v>1</v>
      </c>
      <c r="G9" s="7">
        <v>1</v>
      </c>
      <c r="H9" s="7">
        <v>-1</v>
      </c>
      <c r="M9" s="7" t="s">
        <v>596</v>
      </c>
      <c r="N9" s="7" t="s">
        <v>106</v>
      </c>
      <c r="O9" s="7">
        <f>7*8*24*60*60</f>
        <v>4838400</v>
      </c>
      <c r="P9" s="7">
        <v>1</v>
      </c>
      <c r="Q9" s="7">
        <v>1</v>
      </c>
      <c r="R9" s="7">
        <v>1</v>
      </c>
      <c r="AA9" s="4" t="s">
        <v>104</v>
      </c>
    </row>
    <row r="10" spans="1:37" ht="36" customHeight="1" x14ac:dyDescent="0.15">
      <c r="A10" s="7">
        <v>6</v>
      </c>
      <c r="B10" s="11">
        <v>1</v>
      </c>
      <c r="C10" s="7" t="s">
        <v>587</v>
      </c>
      <c r="E10" s="7">
        <v>1</v>
      </c>
      <c r="G10" s="7">
        <v>1</v>
      </c>
      <c r="H10" s="7">
        <v>-1</v>
      </c>
      <c r="M10" s="7" t="s">
        <v>597</v>
      </c>
      <c r="N10" s="7" t="s">
        <v>106</v>
      </c>
      <c r="O10" s="7">
        <f>7*24*60*60</f>
        <v>604800</v>
      </c>
      <c r="P10" s="7">
        <v>1</v>
      </c>
      <c r="Q10" s="7">
        <v>1</v>
      </c>
      <c r="R10" s="7">
        <v>1</v>
      </c>
      <c r="AA10" s="4" t="s">
        <v>104</v>
      </c>
    </row>
    <row r="11" spans="1:37" ht="36" customHeight="1" x14ac:dyDescent="0.15">
      <c r="A11" s="7">
        <v>7</v>
      </c>
      <c r="B11" s="11">
        <v>1</v>
      </c>
      <c r="C11" s="7" t="s">
        <v>588</v>
      </c>
      <c r="E11" s="7">
        <v>1</v>
      </c>
      <c r="G11" s="7">
        <v>1</v>
      </c>
      <c r="H11" s="7">
        <v>-1</v>
      </c>
      <c r="M11" s="7" t="s">
        <v>598</v>
      </c>
      <c r="N11" s="7" t="s">
        <v>106</v>
      </c>
      <c r="O11" s="7">
        <f t="shared" ref="O11:O17" si="1">7*24*60*60</f>
        <v>604800</v>
      </c>
      <c r="P11" s="7">
        <v>1</v>
      </c>
      <c r="Q11" s="7">
        <v>1</v>
      </c>
      <c r="R11" s="7">
        <v>1</v>
      </c>
      <c r="AA11" s="4" t="s">
        <v>104</v>
      </c>
    </row>
    <row r="12" spans="1:37" ht="36" customHeight="1" x14ac:dyDescent="0.15">
      <c r="A12" s="7">
        <v>8</v>
      </c>
      <c r="B12" s="11">
        <v>1</v>
      </c>
      <c r="C12" s="7" t="s">
        <v>589</v>
      </c>
      <c r="E12" s="7">
        <v>1</v>
      </c>
      <c r="G12" s="7">
        <v>1</v>
      </c>
      <c r="H12" s="7">
        <v>-1</v>
      </c>
      <c r="M12" s="7" t="s">
        <v>599</v>
      </c>
      <c r="N12" s="7" t="s">
        <v>106</v>
      </c>
      <c r="O12" s="7">
        <f t="shared" si="1"/>
        <v>604800</v>
      </c>
      <c r="P12" s="7">
        <v>1</v>
      </c>
      <c r="Q12" s="7">
        <v>1</v>
      </c>
      <c r="R12" s="7">
        <v>1</v>
      </c>
      <c r="AA12" s="4" t="s">
        <v>104</v>
      </c>
    </row>
    <row r="13" spans="1:37" ht="36" customHeight="1" x14ac:dyDescent="0.15">
      <c r="A13" s="7">
        <v>9</v>
      </c>
      <c r="B13" s="11">
        <v>1</v>
      </c>
      <c r="C13" s="7" t="s">
        <v>590</v>
      </c>
      <c r="E13" s="7">
        <v>1</v>
      </c>
      <c r="G13" s="7">
        <v>1</v>
      </c>
      <c r="H13" s="7">
        <v>-1</v>
      </c>
      <c r="M13" s="7" t="s">
        <v>600</v>
      </c>
      <c r="N13" s="7" t="s">
        <v>106</v>
      </c>
      <c r="O13" s="7">
        <f t="shared" si="1"/>
        <v>604800</v>
      </c>
      <c r="P13" s="7">
        <v>1</v>
      </c>
      <c r="Q13" s="7">
        <v>1</v>
      </c>
      <c r="R13" s="7">
        <v>1</v>
      </c>
      <c r="AA13" s="4" t="s">
        <v>104</v>
      </c>
    </row>
    <row r="14" spans="1:37" ht="36" customHeight="1" x14ac:dyDescent="0.15">
      <c r="A14" s="7">
        <v>10</v>
      </c>
      <c r="B14" s="11">
        <v>1</v>
      </c>
      <c r="C14" s="7" t="s">
        <v>591</v>
      </c>
      <c r="E14" s="7">
        <v>1</v>
      </c>
      <c r="G14" s="7">
        <v>1</v>
      </c>
      <c r="H14" s="7">
        <v>-1</v>
      </c>
      <c r="M14" s="7" t="s">
        <v>601</v>
      </c>
      <c r="N14" s="7" t="s">
        <v>106</v>
      </c>
      <c r="O14" s="7">
        <f t="shared" si="1"/>
        <v>604800</v>
      </c>
      <c r="P14" s="7">
        <v>1</v>
      </c>
      <c r="Q14" s="7">
        <v>1</v>
      </c>
      <c r="R14" s="7">
        <v>1</v>
      </c>
      <c r="AA14" s="4" t="s">
        <v>104</v>
      </c>
    </row>
    <row r="15" spans="1:37" ht="36" customHeight="1" x14ac:dyDescent="0.15">
      <c r="A15" s="7">
        <v>11</v>
      </c>
      <c r="B15" s="11">
        <v>1</v>
      </c>
      <c r="C15" s="7" t="s">
        <v>592</v>
      </c>
      <c r="E15" s="7">
        <v>1</v>
      </c>
      <c r="G15" s="7">
        <v>1</v>
      </c>
      <c r="H15" s="7">
        <v>-1</v>
      </c>
      <c r="M15" s="7" t="s">
        <v>602</v>
      </c>
      <c r="N15" s="7" t="s">
        <v>106</v>
      </c>
      <c r="O15" s="7">
        <f t="shared" si="1"/>
        <v>604800</v>
      </c>
      <c r="P15" s="7">
        <v>1</v>
      </c>
      <c r="Q15" s="7">
        <v>1</v>
      </c>
      <c r="R15" s="7">
        <v>1</v>
      </c>
      <c r="AA15" s="4" t="s">
        <v>104</v>
      </c>
    </row>
    <row r="16" spans="1:37" ht="36" customHeight="1" x14ac:dyDescent="0.15">
      <c r="A16" s="7">
        <v>12</v>
      </c>
      <c r="B16" s="11">
        <v>1</v>
      </c>
      <c r="C16" s="7" t="s">
        <v>593</v>
      </c>
      <c r="E16" s="7">
        <v>1</v>
      </c>
      <c r="G16" s="7">
        <v>1</v>
      </c>
      <c r="H16" s="7">
        <v>-1</v>
      </c>
      <c r="M16" s="7" t="s">
        <v>603</v>
      </c>
      <c r="N16" s="7" t="s">
        <v>106</v>
      </c>
      <c r="O16" s="7">
        <f t="shared" si="1"/>
        <v>604800</v>
      </c>
      <c r="P16" s="7">
        <v>1</v>
      </c>
      <c r="Q16" s="7">
        <v>1</v>
      </c>
      <c r="R16" s="7">
        <v>1</v>
      </c>
      <c r="AA16" s="4" t="s">
        <v>104</v>
      </c>
    </row>
    <row r="17" spans="1:27" ht="36" customHeight="1" x14ac:dyDescent="0.15">
      <c r="A17" s="7">
        <v>13</v>
      </c>
      <c r="B17" s="11">
        <v>1</v>
      </c>
      <c r="C17" s="7" t="s">
        <v>594</v>
      </c>
      <c r="E17" s="7">
        <v>1</v>
      </c>
      <c r="G17" s="7">
        <v>1</v>
      </c>
      <c r="H17" s="7">
        <v>-1</v>
      </c>
      <c r="M17" s="7" t="s">
        <v>604</v>
      </c>
      <c r="N17" s="7" t="s">
        <v>106</v>
      </c>
      <c r="O17" s="7">
        <f t="shared" si="1"/>
        <v>604800</v>
      </c>
      <c r="P17" s="7">
        <v>1</v>
      </c>
      <c r="Q17" s="7">
        <v>1</v>
      </c>
      <c r="R17" s="7">
        <v>1</v>
      </c>
      <c r="AA17" s="4" t="s">
        <v>104</v>
      </c>
    </row>
  </sheetData>
  <phoneticPr fontId="4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6"/>
  <sheetViews>
    <sheetView workbookViewId="0">
      <pane xSplit="4" ySplit="4" topLeftCell="E5" activePane="bottomRight" state="frozen"/>
      <selection pane="topRight"/>
      <selection pane="bottomLeft"/>
      <selection pane="bottomRight" activeCell="A5" sqref="A5:XFD6"/>
    </sheetView>
  </sheetViews>
  <sheetFormatPr defaultColWidth="9" defaultRowHeight="36" customHeight="1" x14ac:dyDescent="0.15"/>
  <cols>
    <col min="1" max="3" width="19.625" style="7" customWidth="1"/>
    <col min="4" max="4" width="33.625" style="7" customWidth="1"/>
    <col min="5" max="8" width="23.375" style="7" customWidth="1"/>
    <col min="9" max="9" width="22.625" style="9" customWidth="1"/>
    <col min="10" max="12" width="24.25" style="9" customWidth="1"/>
    <col min="13" max="13" width="33.375" style="7" customWidth="1"/>
    <col min="14" max="14" width="33.375" style="9" customWidth="1"/>
    <col min="15" max="15" width="33.375" style="7" customWidth="1"/>
    <col min="16" max="16" width="13.625" style="7" customWidth="1"/>
    <col min="17" max="17" width="13.125" style="7" customWidth="1"/>
    <col min="18" max="18" width="14" style="7" customWidth="1"/>
    <col min="19" max="19" width="38.75" style="7" customWidth="1"/>
    <col min="20" max="20" width="14.25" style="7" customWidth="1"/>
    <col min="21" max="22" width="49.875" style="7" customWidth="1"/>
    <col min="23" max="23" width="30.625" style="7" customWidth="1"/>
    <col min="24" max="26" width="40.25" style="7" customWidth="1"/>
    <col min="27" max="27" width="25.75" style="7" customWidth="1"/>
    <col min="28" max="30" width="29.875" style="7" customWidth="1"/>
    <col min="31" max="31" width="15.25" style="7" customWidth="1"/>
    <col min="32" max="32" width="19.375" style="7" customWidth="1"/>
    <col min="33" max="33" width="11.875" style="7" customWidth="1"/>
    <col min="34" max="34" width="11.5" style="7" customWidth="1"/>
    <col min="35" max="35" width="7.5" style="7" customWidth="1"/>
    <col min="36" max="36" width="10" style="7" customWidth="1"/>
    <col min="37" max="37" width="14.625" style="7" customWidth="1"/>
    <col min="38" max="38" width="16.25" style="7" customWidth="1"/>
    <col min="39" max="39" width="24.75" style="7" customWidth="1"/>
    <col min="40" max="45" width="50.625" style="7" customWidth="1"/>
    <col min="46" max="47" width="38.75" style="7" customWidth="1"/>
    <col min="48" max="49" width="24.375" style="7" customWidth="1"/>
    <col min="50" max="50" width="16.625" style="7" customWidth="1"/>
    <col min="51" max="52" width="29.75" style="7" customWidth="1"/>
    <col min="53" max="53" width="50.625" style="7" customWidth="1"/>
    <col min="54" max="54" width="24.125" style="7" customWidth="1"/>
    <col min="55" max="55" width="24.5" style="7" customWidth="1"/>
    <col min="56" max="56" width="9" customWidth="1"/>
    <col min="57" max="61" width="9" style="7" customWidth="1"/>
    <col min="62" max="16384" width="9" style="7"/>
  </cols>
  <sheetData>
    <row r="1" spans="1:58" ht="36" customHeight="1" x14ac:dyDescent="0.15">
      <c r="A1" s="7" t="s">
        <v>0</v>
      </c>
      <c r="B1" s="11" t="s">
        <v>0</v>
      </c>
      <c r="C1" s="7" t="s">
        <v>1</v>
      </c>
      <c r="D1" s="7" t="s">
        <v>1</v>
      </c>
      <c r="E1" s="7" t="s">
        <v>110</v>
      </c>
      <c r="F1" s="7" t="s">
        <v>110</v>
      </c>
      <c r="G1" s="7" t="s">
        <v>110</v>
      </c>
      <c r="H1" s="7" t="s">
        <v>0</v>
      </c>
      <c r="I1" s="9" t="s">
        <v>2</v>
      </c>
      <c r="J1" s="9" t="s">
        <v>2</v>
      </c>
      <c r="K1" s="7" t="s">
        <v>2</v>
      </c>
      <c r="L1" s="7" t="s">
        <v>0</v>
      </c>
      <c r="M1" s="7" t="s">
        <v>2</v>
      </c>
      <c r="N1" s="7" t="s">
        <v>2</v>
      </c>
      <c r="O1" s="7" t="s">
        <v>0</v>
      </c>
      <c r="P1" s="7" t="s">
        <v>0</v>
      </c>
      <c r="Q1" s="7" t="s">
        <v>0</v>
      </c>
      <c r="R1" s="7" t="s">
        <v>0</v>
      </c>
      <c r="S1" s="7" t="s">
        <v>2</v>
      </c>
      <c r="T1" s="7" t="s">
        <v>2</v>
      </c>
      <c r="U1" s="7" t="s">
        <v>2</v>
      </c>
      <c r="V1" s="7" t="s">
        <v>2</v>
      </c>
      <c r="W1" s="7" t="s">
        <v>2</v>
      </c>
      <c r="X1" s="7" t="s">
        <v>0</v>
      </c>
      <c r="Y1" s="7" t="s">
        <v>2</v>
      </c>
      <c r="Z1" s="7" t="s">
        <v>0</v>
      </c>
      <c r="AA1" s="7" t="s">
        <v>2</v>
      </c>
      <c r="AB1" s="7" t="s">
        <v>0</v>
      </c>
      <c r="AC1" s="7" t="s">
        <v>0</v>
      </c>
      <c r="AD1" s="7" t="s">
        <v>2</v>
      </c>
      <c r="AE1" s="7" t="s">
        <v>0</v>
      </c>
      <c r="AF1" s="7" t="s">
        <v>2</v>
      </c>
      <c r="AG1" s="7" t="s">
        <v>0</v>
      </c>
      <c r="AH1" s="7" t="s">
        <v>0</v>
      </c>
      <c r="AI1" s="7" t="s">
        <v>0</v>
      </c>
      <c r="AJ1" s="7" t="s">
        <v>0</v>
      </c>
      <c r="AK1" s="7" t="s">
        <v>0</v>
      </c>
      <c r="AL1" s="7" t="s">
        <v>2</v>
      </c>
      <c r="AM1" s="7" t="s">
        <v>1</v>
      </c>
      <c r="AN1" s="7" t="s">
        <v>2</v>
      </c>
      <c r="AO1" s="7" t="s">
        <v>2</v>
      </c>
      <c r="AP1" s="7" t="s">
        <v>2</v>
      </c>
      <c r="AQ1" s="7" t="s">
        <v>2</v>
      </c>
      <c r="AR1" s="7" t="s">
        <v>2</v>
      </c>
      <c r="AS1" s="7" t="s">
        <v>2</v>
      </c>
      <c r="AT1" s="7" t="s">
        <v>1</v>
      </c>
      <c r="AU1" s="7" t="s">
        <v>1</v>
      </c>
      <c r="AV1" s="7" t="s">
        <v>2</v>
      </c>
      <c r="AW1" s="7" t="s">
        <v>0</v>
      </c>
      <c r="AX1" s="7" t="s">
        <v>0</v>
      </c>
      <c r="AY1" s="7" t="s">
        <v>2</v>
      </c>
      <c r="AZ1" s="7" t="s">
        <v>1</v>
      </c>
      <c r="BA1" s="7" t="s">
        <v>1</v>
      </c>
      <c r="BB1" s="7" t="s">
        <v>0</v>
      </c>
      <c r="BC1" s="7" t="s">
        <v>1</v>
      </c>
      <c r="BD1" s="7" t="s">
        <v>0</v>
      </c>
      <c r="BE1" s="7" t="s">
        <v>1</v>
      </c>
      <c r="BF1" s="7" t="s">
        <v>0</v>
      </c>
    </row>
    <row r="2" spans="1:58" ht="36" customHeight="1" x14ac:dyDescent="0.15">
      <c r="A2" s="7" t="s">
        <v>3</v>
      </c>
      <c r="B2" s="11" t="s">
        <v>4</v>
      </c>
      <c r="C2" s="7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7" t="s">
        <v>10</v>
      </c>
      <c r="I2" s="9" t="s">
        <v>11</v>
      </c>
      <c r="J2" s="9" t="s">
        <v>12</v>
      </c>
      <c r="K2" s="7" t="s">
        <v>13</v>
      </c>
      <c r="L2" s="7" t="s">
        <v>14</v>
      </c>
      <c r="M2" s="7" t="s">
        <v>15</v>
      </c>
      <c r="N2" s="7" t="s">
        <v>16</v>
      </c>
      <c r="O2" s="7" t="s">
        <v>17</v>
      </c>
      <c r="P2" s="7" t="s">
        <v>18</v>
      </c>
      <c r="Q2" s="7" t="s">
        <v>19</v>
      </c>
      <c r="R2" s="7" t="s">
        <v>20</v>
      </c>
      <c r="S2" s="7" t="s">
        <v>21</v>
      </c>
      <c r="T2" s="7" t="s">
        <v>22</v>
      </c>
      <c r="U2" s="7" t="s">
        <v>23</v>
      </c>
      <c r="V2" s="7" t="s">
        <v>24</v>
      </c>
      <c r="W2" s="7" t="s">
        <v>25</v>
      </c>
      <c r="X2" s="7" t="s">
        <v>26</v>
      </c>
      <c r="Y2" s="7" t="s">
        <v>27</v>
      </c>
      <c r="Z2" s="7" t="s">
        <v>28</v>
      </c>
      <c r="AA2" s="7" t="s">
        <v>29</v>
      </c>
      <c r="AB2" s="7" t="s">
        <v>30</v>
      </c>
      <c r="AC2" s="7" t="s">
        <v>31</v>
      </c>
      <c r="AD2" s="7" t="s">
        <v>32</v>
      </c>
      <c r="AE2" s="7" t="s">
        <v>33</v>
      </c>
      <c r="AF2" s="7" t="s">
        <v>34</v>
      </c>
      <c r="AG2" s="7" t="s">
        <v>35</v>
      </c>
      <c r="AH2" s="7" t="s">
        <v>36</v>
      </c>
      <c r="AI2" s="7" t="s">
        <v>37</v>
      </c>
      <c r="AJ2" s="7" t="s">
        <v>38</v>
      </c>
      <c r="AK2" s="7" t="s">
        <v>39</v>
      </c>
      <c r="AL2" s="7" t="s">
        <v>111</v>
      </c>
      <c r="AM2" s="7" t="s">
        <v>112</v>
      </c>
      <c r="AN2" s="7" t="s">
        <v>113</v>
      </c>
      <c r="AO2" s="7" t="s">
        <v>114</v>
      </c>
      <c r="AP2" s="7" t="s">
        <v>115</v>
      </c>
      <c r="AQ2" s="7" t="s">
        <v>116</v>
      </c>
      <c r="AR2" s="7" t="s">
        <v>117</v>
      </c>
      <c r="AS2" s="7" t="s">
        <v>118</v>
      </c>
      <c r="AT2" s="7" t="s">
        <v>119</v>
      </c>
      <c r="AU2" s="7" t="s">
        <v>120</v>
      </c>
      <c r="AV2" s="7" t="s">
        <v>121</v>
      </c>
      <c r="AW2" s="7" t="s">
        <v>122</v>
      </c>
      <c r="AX2" s="7" t="s">
        <v>123</v>
      </c>
      <c r="AY2" s="7" t="s">
        <v>124</v>
      </c>
      <c r="AZ2" s="7" t="s">
        <v>125</v>
      </c>
      <c r="BA2" s="7" t="s">
        <v>126</v>
      </c>
      <c r="BB2" s="7" t="s">
        <v>127</v>
      </c>
      <c r="BC2" s="7" t="s">
        <v>128</v>
      </c>
      <c r="BD2" s="7" t="s">
        <v>129</v>
      </c>
      <c r="BE2" s="7" t="s">
        <v>130</v>
      </c>
      <c r="BF2" s="7" t="s">
        <v>131</v>
      </c>
    </row>
    <row r="3" spans="1:58" s="8" customFormat="1" ht="36" customHeight="1" x14ac:dyDescent="0.15">
      <c r="A3" s="8" t="s">
        <v>40</v>
      </c>
      <c r="B3" s="14" t="s">
        <v>41</v>
      </c>
      <c r="C3" s="8" t="s">
        <v>42</v>
      </c>
      <c r="D3" s="8" t="s">
        <v>43</v>
      </c>
      <c r="E3" s="8" t="s">
        <v>44</v>
      </c>
      <c r="F3" s="8" t="s">
        <v>45</v>
      </c>
      <c r="G3" s="8" t="s">
        <v>46</v>
      </c>
      <c r="H3" s="8" t="s">
        <v>47</v>
      </c>
      <c r="I3" s="10" t="s">
        <v>48</v>
      </c>
      <c r="J3" s="10" t="s">
        <v>49</v>
      </c>
      <c r="K3" s="10" t="s">
        <v>50</v>
      </c>
      <c r="L3" s="10" t="s">
        <v>51</v>
      </c>
      <c r="M3" s="8" t="s">
        <v>52</v>
      </c>
      <c r="N3" s="10" t="s">
        <v>53</v>
      </c>
      <c r="O3" s="8" t="s">
        <v>54</v>
      </c>
      <c r="P3" s="8" t="s">
        <v>55</v>
      </c>
      <c r="Q3" s="8" t="s">
        <v>56</v>
      </c>
      <c r="R3" s="8" t="s">
        <v>57</v>
      </c>
      <c r="S3" s="8" t="s">
        <v>58</v>
      </c>
      <c r="T3" s="8" t="s">
        <v>59</v>
      </c>
      <c r="U3" s="8" t="s">
        <v>60</v>
      </c>
      <c r="V3" s="8" t="s">
        <v>61</v>
      </c>
      <c r="W3" s="8" t="s">
        <v>62</v>
      </c>
      <c r="X3" s="8" t="s">
        <v>63</v>
      </c>
      <c r="Y3" s="8" t="s">
        <v>64</v>
      </c>
      <c r="Z3" s="8" t="s">
        <v>65</v>
      </c>
      <c r="AA3" s="8" t="s">
        <v>66</v>
      </c>
      <c r="AB3" s="8" t="s">
        <v>67</v>
      </c>
      <c r="AC3" s="8" t="s">
        <v>68</v>
      </c>
      <c r="AD3" s="8" t="s">
        <v>69</v>
      </c>
      <c r="AE3" s="8" t="s">
        <v>70</v>
      </c>
      <c r="AF3" s="8" t="s">
        <v>71</v>
      </c>
      <c r="AG3" s="7" t="s">
        <v>72</v>
      </c>
      <c r="AH3" s="7" t="s">
        <v>73</v>
      </c>
      <c r="AI3" s="7" t="s">
        <v>74</v>
      </c>
      <c r="AJ3" s="7" t="s">
        <v>75</v>
      </c>
      <c r="AK3" s="19" t="s">
        <v>76</v>
      </c>
      <c r="AL3" s="8" t="s">
        <v>132</v>
      </c>
      <c r="AM3" s="8" t="s">
        <v>133</v>
      </c>
      <c r="AN3" s="8" t="s">
        <v>134</v>
      </c>
      <c r="AO3" s="8" t="s">
        <v>134</v>
      </c>
      <c r="AP3" s="8" t="s">
        <v>134</v>
      </c>
      <c r="AQ3" s="8" t="s">
        <v>134</v>
      </c>
      <c r="AR3" s="8" t="s">
        <v>134</v>
      </c>
      <c r="AS3" s="8" t="s">
        <v>134</v>
      </c>
      <c r="AT3" s="8" t="s">
        <v>135</v>
      </c>
      <c r="AU3" s="8" t="s">
        <v>136</v>
      </c>
      <c r="AV3" s="8" t="s">
        <v>137</v>
      </c>
      <c r="AW3" s="8" t="s">
        <v>138</v>
      </c>
      <c r="AX3" s="8" t="s">
        <v>139</v>
      </c>
      <c r="AY3" s="8" t="s">
        <v>140</v>
      </c>
      <c r="AZ3" s="8" t="s">
        <v>141</v>
      </c>
      <c r="BA3" s="8" t="s">
        <v>142</v>
      </c>
      <c r="BB3" s="8" t="s">
        <v>143</v>
      </c>
      <c r="BC3" s="8" t="s">
        <v>144</v>
      </c>
      <c r="BD3" s="20" t="s">
        <v>145</v>
      </c>
      <c r="BE3" s="8" t="s">
        <v>146</v>
      </c>
    </row>
    <row r="4" spans="1:58" s="9" customFormat="1" ht="36" customHeight="1" x14ac:dyDescent="0.15">
      <c r="A4" s="9" t="s">
        <v>77</v>
      </c>
      <c r="B4" s="15"/>
      <c r="C4" s="9" t="s">
        <v>78</v>
      </c>
      <c r="D4" s="9" t="s">
        <v>79</v>
      </c>
      <c r="E4" s="9" t="s">
        <v>80</v>
      </c>
      <c r="F4" s="9" t="s">
        <v>81</v>
      </c>
      <c r="G4" s="9" t="s">
        <v>82</v>
      </c>
      <c r="H4" s="9" t="s">
        <v>83</v>
      </c>
      <c r="I4" s="9" t="s">
        <v>84</v>
      </c>
      <c r="J4" s="9" t="s">
        <v>85</v>
      </c>
      <c r="K4" s="9" t="s">
        <v>86</v>
      </c>
      <c r="M4" s="9" t="s">
        <v>87</v>
      </c>
      <c r="N4" s="9" t="s">
        <v>88</v>
      </c>
      <c r="O4" s="9" t="s">
        <v>89</v>
      </c>
      <c r="P4" s="9" t="s">
        <v>90</v>
      </c>
      <c r="Q4" s="9" t="s">
        <v>91</v>
      </c>
      <c r="R4" s="9" t="s">
        <v>92</v>
      </c>
      <c r="S4" s="9" t="s">
        <v>93</v>
      </c>
      <c r="T4" s="9" t="s">
        <v>94</v>
      </c>
      <c r="U4" s="9" t="s">
        <v>95</v>
      </c>
      <c r="V4" s="9" t="s">
        <v>96</v>
      </c>
      <c r="W4" s="9" t="s">
        <v>97</v>
      </c>
      <c r="X4" s="7" t="s">
        <v>98</v>
      </c>
      <c r="Y4" s="7" t="s">
        <v>99</v>
      </c>
      <c r="Z4" s="7" t="s">
        <v>99</v>
      </c>
      <c r="AA4" s="7" t="s">
        <v>100</v>
      </c>
      <c r="AB4" s="7"/>
      <c r="AC4" s="7"/>
      <c r="AD4" s="7"/>
      <c r="AE4" s="7"/>
      <c r="AF4" s="7"/>
      <c r="AG4" s="7"/>
      <c r="AH4" s="7"/>
      <c r="AI4" s="7"/>
      <c r="AJ4" s="7"/>
      <c r="AK4" s="7"/>
      <c r="AL4" s="9" t="s">
        <v>147</v>
      </c>
      <c r="AM4" s="9" t="s">
        <v>148</v>
      </c>
      <c r="AN4" s="9" t="s">
        <v>93</v>
      </c>
      <c r="AO4" s="9" t="s">
        <v>93</v>
      </c>
      <c r="AP4" s="9" t="s">
        <v>93</v>
      </c>
      <c r="AQ4" s="9" t="s">
        <v>93</v>
      </c>
      <c r="AR4" s="9" t="s">
        <v>93</v>
      </c>
      <c r="AS4" s="9" t="s">
        <v>93</v>
      </c>
      <c r="AT4" s="9" t="s">
        <v>149</v>
      </c>
      <c r="AU4" s="9" t="s">
        <v>150</v>
      </c>
      <c r="AV4" s="9" t="s">
        <v>151</v>
      </c>
      <c r="AW4" s="9" t="s">
        <v>152</v>
      </c>
      <c r="AX4" s="9" t="s">
        <v>153</v>
      </c>
      <c r="AY4" s="9" t="s">
        <v>154</v>
      </c>
      <c r="BB4" s="9" t="s">
        <v>155</v>
      </c>
      <c r="BF4" s="9" t="s">
        <v>156</v>
      </c>
    </row>
    <row r="5" spans="1:58" s="13" customFormat="1" ht="36" customHeight="1" x14ac:dyDescent="0.15">
      <c r="A5" s="13">
        <v>152</v>
      </c>
      <c r="B5" s="16"/>
      <c r="C5" s="13" t="s">
        <v>157</v>
      </c>
      <c r="E5" s="7" t="s">
        <v>158</v>
      </c>
      <c r="G5" s="13">
        <v>1</v>
      </c>
      <c r="H5" s="13">
        <v>-1</v>
      </c>
      <c r="I5" s="17" t="s">
        <v>159</v>
      </c>
      <c r="J5" s="17" t="s">
        <v>159</v>
      </c>
      <c r="K5" s="18"/>
      <c r="L5" s="18"/>
      <c r="M5" s="13" t="s">
        <v>160</v>
      </c>
      <c r="N5" s="13" t="s">
        <v>106</v>
      </c>
      <c r="O5" s="13">
        <f>24*3600*7</f>
        <v>604800</v>
      </c>
      <c r="P5" s="13">
        <v>-1</v>
      </c>
      <c r="Q5" s="13">
        <v>3</v>
      </c>
      <c r="R5" s="13">
        <v>-1</v>
      </c>
      <c r="W5" s="13" t="s">
        <v>161</v>
      </c>
      <c r="X5" s="13">
        <v>1184023145</v>
      </c>
      <c r="AA5" s="13" t="s">
        <v>162</v>
      </c>
      <c r="AL5" s="13" t="s">
        <v>163</v>
      </c>
      <c r="AT5" s="13" t="s">
        <v>164</v>
      </c>
      <c r="AU5" s="13" t="s">
        <v>165</v>
      </c>
      <c r="AW5" s="13">
        <v>501</v>
      </c>
      <c r="BB5" s="13">
        <v>0</v>
      </c>
      <c r="BD5" s="21"/>
    </row>
    <row r="6" spans="1:58" s="13" customFormat="1" ht="36" customHeight="1" x14ac:dyDescent="0.15">
      <c r="A6" s="13">
        <v>153</v>
      </c>
      <c r="B6" s="16"/>
      <c r="C6" s="13" t="s">
        <v>166</v>
      </c>
      <c r="E6" s="7" t="s">
        <v>158</v>
      </c>
      <c r="G6" s="13">
        <v>1</v>
      </c>
      <c r="H6" s="13">
        <v>-1</v>
      </c>
      <c r="I6" s="17" t="s">
        <v>159</v>
      </c>
      <c r="J6" s="17" t="s">
        <v>159</v>
      </c>
      <c r="K6" s="18"/>
      <c r="L6" s="18"/>
      <c r="M6" s="13" t="s">
        <v>160</v>
      </c>
      <c r="N6" s="13" t="s">
        <v>106</v>
      </c>
      <c r="O6" s="13">
        <f>24*3600*7</f>
        <v>604800</v>
      </c>
      <c r="P6" s="13">
        <v>-1</v>
      </c>
      <c r="Q6" s="13">
        <v>3</v>
      </c>
      <c r="R6" s="13">
        <v>-1</v>
      </c>
      <c r="W6" s="13" t="s">
        <v>161</v>
      </c>
      <c r="X6" s="13">
        <v>1184023145</v>
      </c>
      <c r="AA6" s="13" t="s">
        <v>162</v>
      </c>
      <c r="AL6" s="13" t="s">
        <v>163</v>
      </c>
      <c r="AT6" s="13" t="s">
        <v>164</v>
      </c>
      <c r="AU6" s="13" t="s">
        <v>165</v>
      </c>
      <c r="AW6" s="13">
        <v>501</v>
      </c>
      <c r="BB6" s="13">
        <v>0</v>
      </c>
      <c r="BD6" s="21"/>
    </row>
  </sheetData>
  <autoFilter ref="A4:BI6"/>
  <phoneticPr fontId="4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5"/>
  <sheetViews>
    <sheetView zoomScale="85" zoomScaleNormal="85" workbookViewId="0">
      <pane xSplit="3" ySplit="4" topLeftCell="X41" activePane="bottomRight" state="frozen"/>
      <selection pane="topRight"/>
      <selection pane="bottomLeft"/>
      <selection pane="bottomRight" activeCell="B66" sqref="B66"/>
    </sheetView>
  </sheetViews>
  <sheetFormatPr defaultColWidth="9" defaultRowHeight="14.25" x14ac:dyDescent="0.15"/>
  <cols>
    <col min="1" max="2" width="19.625" style="7" customWidth="1"/>
    <col min="3" max="3" width="33.625" style="7" customWidth="1"/>
    <col min="4" max="6" width="23.375" style="7" customWidth="1"/>
    <col min="7" max="7" width="22.625" style="9" customWidth="1"/>
    <col min="8" max="9" width="24.25" style="9" customWidth="1"/>
    <col min="10" max="10" width="33.375" style="7" customWidth="1"/>
    <col min="11" max="11" width="33.375" style="9" customWidth="1"/>
    <col min="12" max="12" width="33.375" style="7" customWidth="1"/>
    <col min="13" max="13" width="13.625" style="7" customWidth="1"/>
    <col min="14" max="14" width="13.125" style="7" customWidth="1"/>
    <col min="15" max="15" width="14" style="7" customWidth="1"/>
    <col min="16" max="16" width="38.75" style="7" customWidth="1"/>
    <col min="17" max="17" width="14.25" style="7" customWidth="1"/>
    <col min="18" max="18" width="49.875" style="7" customWidth="1"/>
    <col min="19" max="19" width="30.625" style="7" customWidth="1"/>
    <col min="20" max="22" width="40.25" style="7" customWidth="1"/>
    <col min="23" max="23" width="16.25" style="7" customWidth="1"/>
    <col min="24" max="24" width="24.75" style="7" customWidth="1"/>
    <col min="25" max="25" width="38.75" style="7" customWidth="1"/>
    <col min="26" max="26" width="27.375" style="7" customWidth="1"/>
    <col min="27" max="27" width="23.625" style="7" customWidth="1"/>
    <col min="28" max="31" width="11.375" style="7" customWidth="1"/>
    <col min="32" max="32" width="40.75" style="7" customWidth="1"/>
    <col min="33" max="34" width="38.75" style="7" customWidth="1"/>
    <col min="35" max="35" width="24.375" style="7" customWidth="1"/>
    <col min="36" max="36" width="19.875" style="7" customWidth="1"/>
    <col min="37" max="37" width="16.625" style="7" customWidth="1"/>
    <col min="38" max="38" width="29.75" style="7" customWidth="1"/>
    <col min="39" max="39" width="22.625" style="7" customWidth="1"/>
    <col min="40" max="40" width="24.125" style="7" customWidth="1"/>
    <col min="41" max="41" width="24.875" style="7" customWidth="1"/>
    <col min="42" max="46" width="9" style="7" customWidth="1"/>
    <col min="47" max="16384" width="9" style="7"/>
  </cols>
  <sheetData>
    <row r="1" spans="1:42" ht="13.5" customHeight="1" x14ac:dyDescent="0.15">
      <c r="A1" s="7" t="s">
        <v>0</v>
      </c>
      <c r="B1" s="7" t="s">
        <v>1</v>
      </c>
      <c r="C1" s="7" t="s">
        <v>1</v>
      </c>
      <c r="D1" s="7" t="s">
        <v>110</v>
      </c>
      <c r="E1" s="7" t="s">
        <v>110</v>
      </c>
      <c r="F1" s="7" t="s">
        <v>0</v>
      </c>
      <c r="G1" s="9" t="s">
        <v>2</v>
      </c>
      <c r="H1" s="9" t="s">
        <v>2</v>
      </c>
      <c r="I1" s="7" t="s">
        <v>2</v>
      </c>
      <c r="J1" s="7" t="s">
        <v>2</v>
      </c>
      <c r="K1" s="7" t="s">
        <v>2</v>
      </c>
      <c r="L1" s="7" t="s">
        <v>0</v>
      </c>
      <c r="M1" s="7" t="s">
        <v>0</v>
      </c>
      <c r="N1" s="7" t="s">
        <v>0</v>
      </c>
      <c r="O1" s="7" t="s">
        <v>0</v>
      </c>
      <c r="P1" s="7" t="s">
        <v>2</v>
      </c>
      <c r="Q1" s="7" t="s">
        <v>2</v>
      </c>
      <c r="R1" s="7" t="s">
        <v>2</v>
      </c>
      <c r="S1" s="7" t="s">
        <v>2</v>
      </c>
      <c r="T1" s="7" t="s">
        <v>0</v>
      </c>
      <c r="U1" s="7" t="s">
        <v>0</v>
      </c>
      <c r="V1" s="7" t="s">
        <v>2</v>
      </c>
      <c r="W1" s="7" t="s">
        <v>2</v>
      </c>
      <c r="X1" s="7" t="s">
        <v>1</v>
      </c>
      <c r="Y1" s="7" t="s">
        <v>2</v>
      </c>
      <c r="AG1" s="7" t="s">
        <v>1</v>
      </c>
      <c r="AH1" s="7" t="s">
        <v>1</v>
      </c>
      <c r="AI1" s="7" t="s">
        <v>2</v>
      </c>
      <c r="AJ1" s="7" t="s">
        <v>0</v>
      </c>
      <c r="AK1" s="7" t="s">
        <v>0</v>
      </c>
      <c r="AL1" s="7" t="s">
        <v>2</v>
      </c>
      <c r="AM1" s="7" t="s">
        <v>1</v>
      </c>
      <c r="AN1" s="7" t="s">
        <v>1</v>
      </c>
      <c r="AO1" s="7" t="s">
        <v>0</v>
      </c>
      <c r="AP1" s="7" t="s">
        <v>1</v>
      </c>
    </row>
    <row r="2" spans="1:42" ht="28.5" customHeight="1" x14ac:dyDescent="0.15">
      <c r="A2" s="7" t="s">
        <v>3</v>
      </c>
      <c r="B2" s="7" t="s">
        <v>5</v>
      </c>
      <c r="C2" s="7" t="s">
        <v>6</v>
      </c>
      <c r="D2" s="7" t="s">
        <v>7</v>
      </c>
      <c r="E2" s="7" t="s">
        <v>9</v>
      </c>
      <c r="F2" s="7" t="s">
        <v>10</v>
      </c>
      <c r="G2" s="9" t="s">
        <v>11</v>
      </c>
      <c r="H2" s="9" t="s">
        <v>12</v>
      </c>
      <c r="I2" s="7" t="s">
        <v>13</v>
      </c>
      <c r="J2" s="7" t="s">
        <v>15</v>
      </c>
      <c r="K2" s="7" t="s">
        <v>16</v>
      </c>
      <c r="L2" s="7" t="s">
        <v>17</v>
      </c>
      <c r="M2" s="7" t="s">
        <v>18</v>
      </c>
      <c r="N2" s="7" t="s">
        <v>19</v>
      </c>
      <c r="O2" s="7" t="s">
        <v>20</v>
      </c>
      <c r="P2" s="7" t="s">
        <v>21</v>
      </c>
      <c r="Q2" s="7" t="s">
        <v>22</v>
      </c>
      <c r="R2" s="7" t="s">
        <v>23</v>
      </c>
      <c r="S2" s="7" t="s">
        <v>25</v>
      </c>
      <c r="T2" s="7" t="s">
        <v>26</v>
      </c>
      <c r="U2" s="7" t="s">
        <v>28</v>
      </c>
      <c r="V2" s="7" t="s">
        <v>29</v>
      </c>
      <c r="W2" s="7" t="s">
        <v>111</v>
      </c>
      <c r="X2" s="7" t="s">
        <v>112</v>
      </c>
      <c r="Y2" s="7" t="s">
        <v>113</v>
      </c>
      <c r="AG2" s="7" t="s">
        <v>119</v>
      </c>
      <c r="AH2" s="7" t="s">
        <v>120</v>
      </c>
      <c r="AI2" s="7" t="s">
        <v>121</v>
      </c>
      <c r="AJ2" s="7" t="s">
        <v>122</v>
      </c>
      <c r="AK2" s="7" t="s">
        <v>123</v>
      </c>
      <c r="AL2" s="7" t="s">
        <v>124</v>
      </c>
      <c r="AM2" s="7" t="s">
        <v>125</v>
      </c>
      <c r="AN2" s="7" t="s">
        <v>126</v>
      </c>
      <c r="AO2" s="7" t="s">
        <v>127</v>
      </c>
      <c r="AP2" s="7" t="s">
        <v>128</v>
      </c>
    </row>
    <row r="3" spans="1:42" s="8" customFormat="1" ht="28.5" customHeight="1" x14ac:dyDescent="0.15">
      <c r="A3" s="8" t="s">
        <v>40</v>
      </c>
      <c r="B3" s="8" t="s">
        <v>42</v>
      </c>
      <c r="C3" s="8" t="s">
        <v>43</v>
      </c>
      <c r="D3" s="8" t="s">
        <v>44</v>
      </c>
      <c r="E3" s="8" t="s">
        <v>46</v>
      </c>
      <c r="F3" s="8" t="s">
        <v>47</v>
      </c>
      <c r="G3" s="10" t="s">
        <v>48</v>
      </c>
      <c r="H3" s="10" t="s">
        <v>49</v>
      </c>
      <c r="I3" s="10" t="s">
        <v>50</v>
      </c>
      <c r="J3" s="8" t="s">
        <v>52</v>
      </c>
      <c r="K3" s="10" t="s">
        <v>53</v>
      </c>
      <c r="L3" s="8" t="s">
        <v>54</v>
      </c>
      <c r="M3" s="8" t="s">
        <v>55</v>
      </c>
      <c r="N3" s="8" t="s">
        <v>56</v>
      </c>
      <c r="O3" s="8" t="s">
        <v>57</v>
      </c>
      <c r="P3" s="8" t="s">
        <v>58</v>
      </c>
      <c r="Q3" s="8" t="s">
        <v>59</v>
      </c>
      <c r="R3" s="8" t="s">
        <v>60</v>
      </c>
      <c r="S3" s="8" t="s">
        <v>62</v>
      </c>
      <c r="T3" s="8" t="s">
        <v>63</v>
      </c>
      <c r="U3" s="8" t="s">
        <v>65</v>
      </c>
      <c r="V3" s="8" t="s">
        <v>66</v>
      </c>
      <c r="W3" s="8" t="s">
        <v>132</v>
      </c>
      <c r="X3" s="8" t="s">
        <v>133</v>
      </c>
      <c r="Y3" s="8" t="s">
        <v>134</v>
      </c>
      <c r="AG3" s="8" t="s">
        <v>135</v>
      </c>
      <c r="AH3" s="8" t="s">
        <v>136</v>
      </c>
      <c r="AI3" s="8" t="s">
        <v>137</v>
      </c>
      <c r="AJ3" s="8" t="s">
        <v>138</v>
      </c>
      <c r="AK3" s="8" t="s">
        <v>139</v>
      </c>
      <c r="AL3" s="8" t="s">
        <v>140</v>
      </c>
      <c r="AM3" s="8" t="s">
        <v>141</v>
      </c>
      <c r="AN3" s="8" t="s">
        <v>142</v>
      </c>
      <c r="AO3" s="8" t="s">
        <v>143</v>
      </c>
      <c r="AP3" s="8" t="s">
        <v>144</v>
      </c>
    </row>
    <row r="4" spans="1:42" s="9" customFormat="1" ht="72.75" customHeight="1" x14ac:dyDescent="0.15">
      <c r="A4" s="9" t="s">
        <v>77</v>
      </c>
      <c r="B4" s="9" t="s">
        <v>78</v>
      </c>
      <c r="C4" s="9" t="s">
        <v>79</v>
      </c>
      <c r="D4" s="9" t="s">
        <v>80</v>
      </c>
      <c r="E4" s="9" t="s">
        <v>82</v>
      </c>
      <c r="F4" s="9" t="s">
        <v>83</v>
      </c>
      <c r="G4" s="9" t="s">
        <v>84</v>
      </c>
      <c r="H4" s="9" t="s">
        <v>85</v>
      </c>
      <c r="I4" s="9" t="s">
        <v>86</v>
      </c>
      <c r="J4" s="9" t="s">
        <v>167</v>
      </c>
      <c r="K4" s="9" t="s">
        <v>88</v>
      </c>
      <c r="L4" s="9" t="s">
        <v>89</v>
      </c>
      <c r="M4" s="9" t="s">
        <v>90</v>
      </c>
      <c r="N4" s="9" t="s">
        <v>91</v>
      </c>
      <c r="O4" s="9" t="s">
        <v>92</v>
      </c>
      <c r="P4" s="9" t="s">
        <v>93</v>
      </c>
      <c r="Q4" s="9" t="s">
        <v>94</v>
      </c>
      <c r="R4" s="9" t="s">
        <v>95</v>
      </c>
      <c r="S4" s="9" t="s">
        <v>168</v>
      </c>
      <c r="T4" s="7" t="s">
        <v>98</v>
      </c>
      <c r="U4" s="7" t="s">
        <v>99</v>
      </c>
      <c r="V4" s="7" t="s">
        <v>169</v>
      </c>
      <c r="W4" s="9" t="s">
        <v>147</v>
      </c>
      <c r="X4" s="9" t="s">
        <v>148</v>
      </c>
      <c r="Y4" s="9" t="s">
        <v>93</v>
      </c>
      <c r="Z4" s="9" t="s">
        <v>170</v>
      </c>
      <c r="AA4" s="9" t="s">
        <v>171</v>
      </c>
      <c r="AB4" s="9" t="s">
        <v>172</v>
      </c>
      <c r="AC4" s="9" t="s">
        <v>173</v>
      </c>
      <c r="AD4" s="9" t="s">
        <v>174</v>
      </c>
      <c r="AE4" s="9" t="s">
        <v>175</v>
      </c>
      <c r="AG4" s="9" t="s">
        <v>149</v>
      </c>
      <c r="AH4" s="9" t="s">
        <v>150</v>
      </c>
      <c r="AI4" s="9" t="s">
        <v>151</v>
      </c>
      <c r="AJ4" s="9" t="s">
        <v>152</v>
      </c>
      <c r="AK4" s="9" t="s">
        <v>153</v>
      </c>
      <c r="AL4" s="9" t="s">
        <v>154</v>
      </c>
      <c r="AO4" s="9" t="s">
        <v>155</v>
      </c>
    </row>
    <row r="5" spans="1:42" ht="99.75" customHeight="1" x14ac:dyDescent="0.15">
      <c r="A5" s="7">
        <v>1</v>
      </c>
      <c r="B5" s="7" t="s">
        <v>176</v>
      </c>
      <c r="C5" s="7" t="s">
        <v>177</v>
      </c>
      <c r="D5" s="7" t="s">
        <v>178</v>
      </c>
      <c r="E5" s="7" t="s">
        <v>179</v>
      </c>
      <c r="F5" s="7">
        <v>-1</v>
      </c>
      <c r="G5" s="9" t="s">
        <v>180</v>
      </c>
      <c r="H5" s="9" t="s">
        <v>180</v>
      </c>
      <c r="I5" s="7"/>
      <c r="J5" s="7" t="s">
        <v>109</v>
      </c>
      <c r="K5" s="7" t="s">
        <v>181</v>
      </c>
      <c r="L5" s="7">
        <v>86400</v>
      </c>
      <c r="M5" s="7">
        <v>2</v>
      </c>
      <c r="N5" s="7">
        <v>4</v>
      </c>
      <c r="O5" s="7">
        <v>-1</v>
      </c>
      <c r="R5" s="7" t="s">
        <v>182</v>
      </c>
      <c r="T5" s="7">
        <v>2079517657</v>
      </c>
      <c r="U5" s="7">
        <v>1</v>
      </c>
      <c r="W5" s="7" t="s">
        <v>163</v>
      </c>
      <c r="X5" s="7" t="s">
        <v>183</v>
      </c>
      <c r="Y5" s="7" t="s">
        <v>184</v>
      </c>
      <c r="Z5" s="7" t="str">
        <f>SUBSTITUTE($AA5,"1=",Z$4)</f>
        <v>0=[活动活跃度奖励](10);0=[活动物品奖励](4801001,1);</v>
      </c>
      <c r="AA5" s="7" t="s">
        <v>185</v>
      </c>
      <c r="AB5" s="7" t="str">
        <f t="shared" ref="AB5:AE6" si="0">SUBSTITUTE($AA5,"1=",AB$4)</f>
        <v>2=[活动活跃度奖励](10);2=[活动物品奖励](4801001,1);</v>
      </c>
      <c r="AC5" s="7" t="str">
        <f t="shared" si="0"/>
        <v>3=[活动活跃度奖励](10);3=[活动物品奖励](4801001,1);</v>
      </c>
      <c r="AD5" s="7" t="str">
        <f t="shared" si="0"/>
        <v>4=[活动活跃度奖励](10);4=[活动物品奖励](4801001,1);</v>
      </c>
      <c r="AE5" s="7" t="str">
        <f t="shared" si="0"/>
        <v>5=[活动活跃度奖励](10);5=[活动物品奖励](4801001,1);</v>
      </c>
      <c r="AF5" s="7" t="str">
        <f t="shared" ref="AF5:AF37" si="1">CONCATENATE(Z5,AA5,AB5,AC5,AD5,AE5)</f>
        <v>0=[活动活跃度奖励](10);0=[活动物品奖励](4801001,1);1=[活动活跃度奖励](10);1=[活动物品奖励](4801001,1);2=[活动活跃度奖励](10);2=[活动物品奖励](4801001,1);3=[活动活跃度奖励](10);3=[活动物品奖励](4801001,1);4=[活动活跃度奖励](10);4=[活动物品奖励](4801001,1);5=[活动活跃度奖励](10);5=[活动物品奖励](4801001,1);</v>
      </c>
      <c r="AG5" s="7" t="s">
        <v>186</v>
      </c>
      <c r="AH5" s="7" t="s">
        <v>165</v>
      </c>
      <c r="AJ5" s="7" t="s">
        <v>187</v>
      </c>
      <c r="AK5" s="7">
        <v>10150</v>
      </c>
      <c r="AL5" s="7">
        <v>1323</v>
      </c>
      <c r="AN5" s="7" t="s">
        <v>188</v>
      </c>
      <c r="AO5" s="7">
        <v>0</v>
      </c>
    </row>
    <row r="6" spans="1:42" ht="128.25" customHeight="1" x14ac:dyDescent="0.15">
      <c r="A6" s="7">
        <v>2</v>
      </c>
      <c r="B6" s="7" t="s">
        <v>189</v>
      </c>
      <c r="C6" s="7" t="s">
        <v>190</v>
      </c>
      <c r="D6" s="7" t="s">
        <v>178</v>
      </c>
      <c r="E6" s="7" t="s">
        <v>179</v>
      </c>
      <c r="F6" s="7">
        <v>-1</v>
      </c>
      <c r="G6" s="9" t="s">
        <v>191</v>
      </c>
      <c r="H6" s="9" t="s">
        <v>191</v>
      </c>
      <c r="I6" s="7"/>
      <c r="J6" s="7" t="s">
        <v>109</v>
      </c>
      <c r="K6" s="7" t="s">
        <v>181</v>
      </c>
      <c r="L6" s="7">
        <v>86400</v>
      </c>
      <c r="M6" s="7">
        <v>2</v>
      </c>
      <c r="N6" s="7">
        <v>4</v>
      </c>
      <c r="O6" s="7">
        <v>-1</v>
      </c>
      <c r="R6" s="7" t="s">
        <v>192</v>
      </c>
      <c r="T6" s="7">
        <v>-1290640215</v>
      </c>
      <c r="U6" s="7">
        <v>2</v>
      </c>
      <c r="W6" s="7" t="s">
        <v>163</v>
      </c>
      <c r="Y6" s="7" t="s">
        <v>193</v>
      </c>
      <c r="Z6" s="7" t="str">
        <f>SUBSTITUTE($AA6,"1=",Z$4)</f>
        <v>0=[活动活跃度奖励](10);0=[活动物品奖励](4801001,1);</v>
      </c>
      <c r="AA6" s="7" t="s">
        <v>185</v>
      </c>
      <c r="AB6" s="7" t="str">
        <f t="shared" si="0"/>
        <v>2=[活动活跃度奖励](10);2=[活动物品奖励](4801001,1);</v>
      </c>
      <c r="AC6" s="7" t="str">
        <f t="shared" si="0"/>
        <v>3=[活动活跃度奖励](10);3=[活动物品奖励](4801001,1);</v>
      </c>
      <c r="AD6" s="7" t="str">
        <f t="shared" si="0"/>
        <v>4=[活动活跃度奖励](10);4=[活动物品奖励](4801001,1);</v>
      </c>
      <c r="AE6" s="7" t="str">
        <f t="shared" si="0"/>
        <v>5=[活动活跃度奖励](10);5=[活动物品奖励](4801001,1);</v>
      </c>
      <c r="AF6" s="7" t="str">
        <f t="shared" si="1"/>
        <v>0=[活动活跃度奖励](10);0=[活动物品奖励](4801001,1);1=[活动活跃度奖励](10);1=[活动物品奖励](4801001,1);2=[活动活跃度奖励](10);2=[活动物品奖励](4801001,1);3=[活动活跃度奖励](10);3=[活动物品奖励](4801001,1);4=[活动活跃度奖励](10);4=[活动物品奖励](4801001,1);5=[活动活跃度奖励](10);5=[活动物品奖励](4801001,1);</v>
      </c>
      <c r="AG6" s="7" t="s">
        <v>194</v>
      </c>
      <c r="AH6" s="7" t="s">
        <v>165</v>
      </c>
      <c r="AJ6" s="7" t="s">
        <v>195</v>
      </c>
      <c r="AK6" s="7">
        <v>22</v>
      </c>
      <c r="AL6" s="7">
        <v>1724</v>
      </c>
      <c r="AN6" s="7" t="s">
        <v>196</v>
      </c>
      <c r="AO6" s="7">
        <v>0</v>
      </c>
    </row>
    <row r="7" spans="1:42" ht="256.5" customHeight="1" x14ac:dyDescent="0.15">
      <c r="A7" s="7">
        <v>4</v>
      </c>
      <c r="B7" s="7" t="s">
        <v>197</v>
      </c>
      <c r="C7" s="7" t="s">
        <v>198</v>
      </c>
      <c r="D7" s="7" t="s">
        <v>199</v>
      </c>
      <c r="E7" s="7" t="s">
        <v>179</v>
      </c>
      <c r="F7" s="7">
        <v>-1</v>
      </c>
      <c r="G7" s="9" t="s">
        <v>200</v>
      </c>
      <c r="H7" s="9" t="s">
        <v>200</v>
      </c>
      <c r="I7" s="7"/>
      <c r="J7" s="7" t="s">
        <v>109</v>
      </c>
      <c r="K7" s="7" t="s">
        <v>181</v>
      </c>
      <c r="L7" s="7">
        <v>86400</v>
      </c>
      <c r="M7" s="7">
        <v>3</v>
      </c>
      <c r="N7" s="7">
        <v>4</v>
      </c>
      <c r="O7" s="7">
        <v>-1</v>
      </c>
      <c r="T7" s="7">
        <v>-189653383</v>
      </c>
      <c r="U7" s="7">
        <v>15</v>
      </c>
      <c r="W7" s="7" t="s">
        <v>163</v>
      </c>
      <c r="Y7" s="7" t="s">
        <v>201</v>
      </c>
      <c r="Z7" s="7" t="s">
        <v>202</v>
      </c>
      <c r="AA7" s="7" t="s">
        <v>203</v>
      </c>
      <c r="AB7" s="7" t="s">
        <v>204</v>
      </c>
      <c r="AC7" s="7" t="s">
        <v>205</v>
      </c>
      <c r="AD7" s="7" t="s">
        <v>206</v>
      </c>
      <c r="AE7" s="7" t="s">
        <v>207</v>
      </c>
      <c r="AF7" s="7" t="str">
        <f t="shared" si="1"/>
        <v>0=[活动物品奖励](4801010,1);0=[活动物品奖励](1101061,1);0=[活动物品奖励](1101062,1);0=[活动物品奖励](1101064,1);1=[活动物品奖励](4801010,1);1=[活动物品奖励](1101061,1);1=[活动物品奖励](1101062,1);1=[活动物品奖励](1101064,1);2=[活动物品奖励](4801010,1);2=[活动物品奖励](1201061,1);2=[活动物品奖励](1201062,1);2=[活动物品奖励](1201064,1);3=[活动物品奖励](4801010,1);3=[活动物品奖励](1201061,1);3=[活动物品奖励](1201062,1);3=[活动物品奖励](1201064,1);4=[活动物品奖励](4801010,1);4=[活动物品奖励](1301061,1);4=[活动物品奖励](1301062,1);4=[活动物品奖励](1301064,1);5=[活动物品奖励](4801010,1);5=[活动物品奖励](1301061,1);5=[活动物品奖励](1301062,1);5=[活动物品奖励](1301064,1);</v>
      </c>
      <c r="AG7" s="7" t="s">
        <v>208</v>
      </c>
      <c r="AH7" s="7" t="s">
        <v>165</v>
      </c>
      <c r="AJ7" s="7" t="s">
        <v>179</v>
      </c>
      <c r="AK7" s="7">
        <v>10160</v>
      </c>
      <c r="AL7" s="7">
        <v>1708</v>
      </c>
      <c r="AM7" s="7" t="s">
        <v>209</v>
      </c>
      <c r="AN7" s="7" t="s">
        <v>210</v>
      </c>
      <c r="AO7" s="7">
        <v>0</v>
      </c>
    </row>
    <row r="8" spans="1:42" ht="171" customHeight="1" x14ac:dyDescent="0.15">
      <c r="A8" s="7">
        <v>5</v>
      </c>
      <c r="B8" s="7" t="s">
        <v>211</v>
      </c>
      <c r="C8" s="7" t="s">
        <v>212</v>
      </c>
      <c r="D8" s="7" t="s">
        <v>178</v>
      </c>
      <c r="E8" s="7">
        <v>1</v>
      </c>
      <c r="F8" s="7">
        <v>-1</v>
      </c>
      <c r="G8" s="9" t="s">
        <v>213</v>
      </c>
      <c r="H8" s="9" t="s">
        <v>213</v>
      </c>
      <c r="I8" s="7"/>
      <c r="J8" s="7" t="s">
        <v>109</v>
      </c>
      <c r="K8" s="7" t="s">
        <v>181</v>
      </c>
      <c r="L8" s="7">
        <v>86400</v>
      </c>
      <c r="M8" s="7">
        <v>1</v>
      </c>
      <c r="N8" s="7">
        <v>4</v>
      </c>
      <c r="O8" s="7">
        <v>-1</v>
      </c>
      <c r="R8" s="7" t="s">
        <v>214</v>
      </c>
      <c r="T8" s="7">
        <v>203610824</v>
      </c>
      <c r="U8" s="7">
        <v>8</v>
      </c>
      <c r="W8" s="7" t="s">
        <v>215</v>
      </c>
      <c r="Y8" s="7" t="s">
        <v>216</v>
      </c>
      <c r="Z8" s="7" t="str">
        <f t="shared" ref="Z8:Z33" si="2">SUBSTITUTE($AA8,"1=",Z$4)</f>
        <v>0=[活动活跃度奖励](10);0=[活动物品奖励](4801007,1);0=[活动物品奖励](4801005,1);</v>
      </c>
      <c r="AA8" s="7" t="s">
        <v>217</v>
      </c>
      <c r="AB8" s="7" t="str">
        <f t="shared" ref="AB8:AE12" si="3">SUBSTITUTE($AA8,"1=",AB$4)</f>
        <v>2=[活动活跃度奖励](10);2=[活动物品奖励](4801007,1);2=[活动物品奖励](4801005,1);</v>
      </c>
      <c r="AC8" s="7" t="str">
        <f t="shared" si="3"/>
        <v>3=[活动活跃度奖励](10);3=[活动物品奖励](4801007,1);3=[活动物品奖励](4801005,1);</v>
      </c>
      <c r="AD8" s="7" t="str">
        <f t="shared" si="3"/>
        <v>4=[活动活跃度奖励](10);4=[活动物品奖励](4801007,1);4=[活动物品奖励](4801005,1);</v>
      </c>
      <c r="AE8" s="7" t="str">
        <f t="shared" si="3"/>
        <v>5=[活动活跃度奖励](10);5=[活动物品奖励](4801007,1);5=[活动物品奖励](4801005,1);</v>
      </c>
      <c r="AF8" s="7" t="str">
        <f t="shared" si="1"/>
        <v>0=[活动活跃度奖励](10);0=[活动物品奖励](4801007,1);0=[活动物品奖励](4801005,1);1=[活动活跃度奖励](10);1=[活动物品奖励](4801007,1);1=[活动物品奖励](4801005,1);2=[活动活跃度奖励](10);2=[活动物品奖励](4801007,1);2=[活动物品奖励](4801005,1);3=[活动活跃度奖励](10);3=[活动物品奖励](4801007,1);3=[活动物品奖励](4801005,1);4=[活动活跃度奖励](10);4=[活动物品奖励](4801007,1);4=[活动物品奖励](4801005,1);5=[活动活跃度奖励](10);5=[活动物品奖励](4801007,1);5=[活动物品奖励](4801005,1);</v>
      </c>
      <c r="AG8" s="7" t="s">
        <v>218</v>
      </c>
      <c r="AH8" s="7" t="s">
        <v>165</v>
      </c>
      <c r="AJ8" s="7" t="s">
        <v>219</v>
      </c>
      <c r="AK8" s="7">
        <v>25</v>
      </c>
      <c r="AL8" s="7">
        <v>1688</v>
      </c>
      <c r="AN8" s="7" t="s">
        <v>220</v>
      </c>
      <c r="AO8" s="7">
        <v>0</v>
      </c>
    </row>
    <row r="9" spans="1:42" ht="213.75" customHeight="1" x14ac:dyDescent="0.15">
      <c r="A9" s="7">
        <v>6</v>
      </c>
      <c r="B9" s="7" t="s">
        <v>221</v>
      </c>
      <c r="C9" s="7" t="s">
        <v>222</v>
      </c>
      <c r="D9" s="7" t="s">
        <v>178</v>
      </c>
      <c r="E9" s="7" t="s">
        <v>179</v>
      </c>
      <c r="F9" s="7">
        <v>-1</v>
      </c>
      <c r="G9" s="9" t="s">
        <v>223</v>
      </c>
      <c r="H9" s="9" t="s">
        <v>223</v>
      </c>
      <c r="I9" s="7"/>
      <c r="J9" s="7" t="s">
        <v>109</v>
      </c>
      <c r="K9" s="7" t="s">
        <v>181</v>
      </c>
      <c r="L9" s="7">
        <v>86400</v>
      </c>
      <c r="M9" s="7">
        <v>2</v>
      </c>
      <c r="N9" s="7">
        <v>4</v>
      </c>
      <c r="O9" s="7">
        <v>1</v>
      </c>
      <c r="R9" s="7" t="s">
        <v>224</v>
      </c>
      <c r="T9" s="7">
        <v>-1905111783</v>
      </c>
      <c r="U9" s="7">
        <v>4</v>
      </c>
      <c r="W9" s="7" t="s">
        <v>163</v>
      </c>
      <c r="Y9" s="7" t="s">
        <v>225</v>
      </c>
      <c r="Z9" s="7" t="str">
        <f t="shared" si="2"/>
        <v>0=[活动活跃度奖励](10);0=[活动物品奖励](4101020,1);0=[活动物品奖励](4106101,1);0=[活动物品奖励](4700001,1);</v>
      </c>
      <c r="AA9" s="7" t="s">
        <v>226</v>
      </c>
      <c r="AB9" s="7" t="str">
        <f t="shared" si="3"/>
        <v>2=[活动活跃度奖励](10);2=[活动物品奖励](4101020,1);2=[活动物品奖励](4106101,1);2=[活动物品奖励](4700001,1);</v>
      </c>
      <c r="AC9" s="7" t="str">
        <f t="shared" si="3"/>
        <v>3=[活动活跃度奖励](10);3=[活动物品奖励](4101020,1);3=[活动物品奖励](4106101,1);3=[活动物品奖励](4700001,1);</v>
      </c>
      <c r="AD9" s="7" t="str">
        <f t="shared" si="3"/>
        <v>4=[活动活跃度奖励](10);4=[活动物品奖励](4101020,1);4=[活动物品奖励](4106101,1);4=[活动物品奖励](4700001,1);</v>
      </c>
      <c r="AE9" s="7" t="str">
        <f t="shared" si="3"/>
        <v>5=[活动活跃度奖励](10);5=[活动物品奖励](4101020,1);5=[活动物品奖励](4106101,1);5=[活动物品奖励](4700001,1);</v>
      </c>
      <c r="AF9" s="7" t="str">
        <f t="shared" si="1"/>
        <v>0=[活动活跃度奖励](10);0=[活动物品奖励](4101020,1);0=[活动物品奖励](4106101,1);0=[活动物品奖励](4700001,1);1=[活动活跃度奖励](10);1=[活动物品奖励](4101020,1);1=[活动物品奖励](4106101,1);1=[活动物品奖励](4700001,1);2=[活动活跃度奖励](10);2=[活动物品奖励](4101020,1);2=[活动物品奖励](4106101,1);2=[活动物品奖励](4700001,1);3=[活动活跃度奖励](10);3=[活动物品奖励](4101020,1);3=[活动物品奖励](4106101,1);3=[活动物品奖励](4700001,1);4=[活动活跃度奖励](10);4=[活动物品奖励](4101020,1);4=[活动物品奖励](4106101,1);4=[活动物品奖励](4700001,1);5=[活动活跃度奖励](10);5=[活动物品奖励](4101020,1);5=[活动物品奖励](4106101,1);5=[活动物品奖励](4700001,1);</v>
      </c>
      <c r="AG9" s="7" t="s">
        <v>227</v>
      </c>
      <c r="AH9" s="7" t="s">
        <v>165</v>
      </c>
      <c r="AJ9" s="7" t="s">
        <v>228</v>
      </c>
      <c r="AK9" s="7">
        <v>27</v>
      </c>
      <c r="AL9" s="7">
        <v>1729</v>
      </c>
      <c r="AN9" s="7" t="s">
        <v>229</v>
      </c>
      <c r="AO9" s="7">
        <v>0</v>
      </c>
    </row>
    <row r="10" spans="1:42" ht="130.5" customHeight="1" x14ac:dyDescent="0.15">
      <c r="A10" s="7">
        <v>7</v>
      </c>
      <c r="B10" s="7" t="s">
        <v>230</v>
      </c>
      <c r="C10" s="7" t="s">
        <v>231</v>
      </c>
      <c r="D10" s="7" t="s">
        <v>178</v>
      </c>
      <c r="E10" s="7" t="s">
        <v>232</v>
      </c>
      <c r="F10" s="7">
        <v>-1</v>
      </c>
      <c r="G10" s="9" t="s">
        <v>180</v>
      </c>
      <c r="H10" s="9" t="s">
        <v>180</v>
      </c>
      <c r="I10" s="7"/>
      <c r="J10" s="7" t="s">
        <v>109</v>
      </c>
      <c r="K10" s="7" t="s">
        <v>181</v>
      </c>
      <c r="L10" s="7">
        <v>86400</v>
      </c>
      <c r="M10" s="7">
        <v>1</v>
      </c>
      <c r="N10" s="7">
        <v>1</v>
      </c>
      <c r="O10" s="7">
        <v>0</v>
      </c>
      <c r="P10" s="7" t="s">
        <v>233</v>
      </c>
      <c r="R10" s="7" t="s">
        <v>234</v>
      </c>
      <c r="T10" s="7">
        <v>1012044041</v>
      </c>
      <c r="U10" s="7">
        <v>5</v>
      </c>
      <c r="W10" s="7" t="s">
        <v>235</v>
      </c>
      <c r="Y10" s="7" t="s">
        <v>236</v>
      </c>
      <c r="Z10" s="7" t="str">
        <f t="shared" si="2"/>
        <v>0=[活动活跃度奖励](40);0=[活动物品奖励](4800003,1);0=[活动物品奖励](4801001,1);0=[活动物品奖励](4801015,1);</v>
      </c>
      <c r="AA10" s="7" t="s">
        <v>237</v>
      </c>
      <c r="AB10" s="7" t="str">
        <f t="shared" si="3"/>
        <v>2=[活动活跃度奖励](40);2=[活动物品奖励](4800003,1);2=[活动物品奖励](4801001,1);2=[活动物品奖励](4801015,1);</v>
      </c>
      <c r="AC10" s="7" t="str">
        <f t="shared" si="3"/>
        <v>3=[活动活跃度奖励](40);3=[活动物品奖励](4800003,1);3=[活动物品奖励](4801001,1);3=[活动物品奖励](4801015,1);</v>
      </c>
      <c r="AD10" s="7" t="str">
        <f t="shared" si="3"/>
        <v>4=[活动活跃度奖励](40);4=[活动物品奖励](4800003,1);4=[活动物品奖励](4801001,1);4=[活动物品奖励](4801015,1);</v>
      </c>
      <c r="AE10" s="7" t="str">
        <f t="shared" si="3"/>
        <v>5=[活动活跃度奖励](40);5=[活动物品奖励](4800003,1);5=[活动物品奖励](4801001,1);5=[活动物品奖励](4801015,1);</v>
      </c>
      <c r="AF10" s="7" t="str">
        <f t="shared" si="1"/>
        <v>0=[活动活跃度奖励](40);0=[活动物品奖励](4800003,1);0=[活动物品奖励](4801001,1);0=[活动物品奖励](4801015,1);1=[活动活跃度奖励](40);1=[活动物品奖励](4800003,1);1=[活动物品奖励](4801001,1);1=[活动物品奖励](4801015,1);2=[活动活跃度奖励](40);2=[活动物品奖励](4800003,1);2=[活动物品奖励](4801001,1);2=[活动物品奖励](4801015,1);3=[活动活跃度奖励](40);3=[活动物品奖励](4800003,1);3=[活动物品奖励](4801001,1);3=[活动物品奖励](4801015,1);4=[活动活跃度奖励](40);4=[活动物品奖励](4800003,1);4=[活动物品奖励](4801001,1);4=[活动物品奖励](4801015,1);5=[活动活跃度奖励](40);5=[活动物品奖励](4800003,1);5=[活动物品奖励](4801001,1);5=[活动物品奖励](4801015,1);</v>
      </c>
      <c r="AG10" s="7" t="s">
        <v>238</v>
      </c>
      <c r="AH10" s="7" t="s">
        <v>165</v>
      </c>
      <c r="AJ10" s="7" t="s">
        <v>239</v>
      </c>
      <c r="AK10" s="7">
        <v>23</v>
      </c>
      <c r="AL10" s="7" t="s">
        <v>240</v>
      </c>
      <c r="AN10" s="7" t="s">
        <v>241</v>
      </c>
      <c r="AO10" s="7">
        <v>0</v>
      </c>
    </row>
    <row r="11" spans="1:42" ht="171" customHeight="1" x14ac:dyDescent="0.15">
      <c r="A11" s="7">
        <v>8</v>
      </c>
      <c r="B11" s="7" t="s">
        <v>242</v>
      </c>
      <c r="C11" s="7" t="s">
        <v>243</v>
      </c>
      <c r="D11" s="7" t="s">
        <v>178</v>
      </c>
      <c r="E11" s="7" t="s">
        <v>232</v>
      </c>
      <c r="F11" s="7">
        <v>-1</v>
      </c>
      <c r="G11" s="9" t="s">
        <v>244</v>
      </c>
      <c r="H11" s="9" t="s">
        <v>244</v>
      </c>
      <c r="I11" s="12"/>
      <c r="J11" s="7" t="s">
        <v>109</v>
      </c>
      <c r="K11" s="7" t="s">
        <v>181</v>
      </c>
      <c r="L11" s="7">
        <v>86400</v>
      </c>
      <c r="M11" s="7">
        <v>-1</v>
      </c>
      <c r="N11" s="7">
        <v>1</v>
      </c>
      <c r="O11" s="7">
        <v>0</v>
      </c>
      <c r="R11" s="7" t="s">
        <v>245</v>
      </c>
      <c r="T11" s="7">
        <v>1184023145</v>
      </c>
      <c r="U11" s="7">
        <v>6</v>
      </c>
      <c r="W11" s="7" t="s">
        <v>163</v>
      </c>
      <c r="Y11" s="7" t="s">
        <v>246</v>
      </c>
      <c r="Z11" s="7" t="str">
        <f t="shared" si="2"/>
        <v>0=[活动活跃度奖励](20);0=[活动物品奖励](4800020,1);0=[活动物品奖励](4801011,1);</v>
      </c>
      <c r="AA11" s="7" t="s">
        <v>247</v>
      </c>
      <c r="AB11" s="7" t="str">
        <f t="shared" si="3"/>
        <v>2=[活动活跃度奖励](20);2=[活动物品奖励](4800020,1);2=[活动物品奖励](4801011,1);</v>
      </c>
      <c r="AC11" s="7" t="str">
        <f t="shared" si="3"/>
        <v>3=[活动活跃度奖励](20);3=[活动物品奖励](4800020,1);3=[活动物品奖励](4801011,1);</v>
      </c>
      <c r="AD11" s="7" t="str">
        <f t="shared" si="3"/>
        <v>4=[活动活跃度奖励](20);4=[活动物品奖励](4800020,1);4=[活动物品奖励](4801011,1);</v>
      </c>
      <c r="AE11" s="7" t="str">
        <f t="shared" si="3"/>
        <v>5=[活动活跃度奖励](20);5=[活动物品奖励](4800020,1);5=[活动物品奖励](4801011,1);</v>
      </c>
      <c r="AF11" s="7" t="str">
        <f t="shared" si="1"/>
        <v>0=[活动活跃度奖励](20);0=[活动物品奖励](4800020,1);0=[活动物品奖励](4801011,1);1=[活动活跃度奖励](20);1=[活动物品奖励](4800020,1);1=[活动物品奖励](4801011,1);2=[活动活跃度奖励](20);2=[活动物品奖励](4800020,1);2=[活动物品奖励](4801011,1);3=[活动活跃度奖励](20);3=[活动物品奖励](4800020,1);3=[活动物品奖励](4801011,1);4=[活动活跃度奖励](20);4=[活动物品奖励](4800020,1);4=[活动物品奖励](4801011,1);5=[活动活跃度奖励](20);5=[活动物品奖励](4800020,1);5=[活动物品奖励](4801011,1);</v>
      </c>
      <c r="AG11" s="7" t="s">
        <v>248</v>
      </c>
      <c r="AH11" s="7" t="s">
        <v>165</v>
      </c>
      <c r="AJ11" s="7" t="s">
        <v>249</v>
      </c>
      <c r="AK11" s="7">
        <v>29</v>
      </c>
      <c r="AL11" s="7">
        <v>1731</v>
      </c>
      <c r="AN11" s="7" t="s">
        <v>250</v>
      </c>
      <c r="AO11" s="7">
        <v>0</v>
      </c>
    </row>
    <row r="12" spans="1:42" ht="171" customHeight="1" x14ac:dyDescent="0.15">
      <c r="A12" s="7">
        <v>10</v>
      </c>
      <c r="B12" s="7" t="s">
        <v>251</v>
      </c>
      <c r="C12" s="7" t="s">
        <v>252</v>
      </c>
      <c r="D12" s="7" t="s">
        <v>178</v>
      </c>
      <c r="E12" s="7" t="s">
        <v>232</v>
      </c>
      <c r="F12" s="7">
        <v>-1</v>
      </c>
      <c r="G12" s="9" t="s">
        <v>253</v>
      </c>
      <c r="H12" s="9" t="s">
        <v>253</v>
      </c>
      <c r="I12" s="7"/>
      <c r="J12" s="7" t="s">
        <v>109</v>
      </c>
      <c r="K12" s="7" t="s">
        <v>181</v>
      </c>
      <c r="L12" s="7">
        <v>86400</v>
      </c>
      <c r="M12" s="7">
        <v>1</v>
      </c>
      <c r="N12" s="7">
        <v>1</v>
      </c>
      <c r="O12" s="7">
        <v>0</v>
      </c>
      <c r="P12" s="7" t="s">
        <v>233</v>
      </c>
      <c r="R12" s="7" t="s">
        <v>254</v>
      </c>
      <c r="S12" s="7" t="s">
        <v>255</v>
      </c>
      <c r="T12" s="7">
        <v>1601533251</v>
      </c>
      <c r="W12" s="7" t="s">
        <v>256</v>
      </c>
      <c r="Y12" s="7" t="s">
        <v>257</v>
      </c>
      <c r="Z12" s="7" t="str">
        <f t="shared" si="2"/>
        <v>0=[活动活跃度奖励](4);0=[活动物品奖励](4801001,1);0=[活动物品奖励](4801002,1);</v>
      </c>
      <c r="AA12" s="7" t="s">
        <v>258</v>
      </c>
      <c r="AB12" s="7" t="str">
        <f t="shared" si="3"/>
        <v>2=[活动活跃度奖励](4);2=[活动物品奖励](4801001,1);2=[活动物品奖励](4801002,1);</v>
      </c>
      <c r="AC12" s="7" t="str">
        <f t="shared" si="3"/>
        <v>3=[活动活跃度奖励](4);3=[活动物品奖励](4801001,1);3=[活动物品奖励](4801002,1);</v>
      </c>
      <c r="AD12" s="7" t="str">
        <f t="shared" si="3"/>
        <v>4=[活动活跃度奖励](4);4=[活动物品奖励](4801001,1);4=[活动物品奖励](4801002,1);</v>
      </c>
      <c r="AE12" s="7" t="str">
        <f t="shared" si="3"/>
        <v>5=[活动活跃度奖励](4);5=[活动物品奖励](4801001,1);5=[活动物品奖励](4801002,1);</v>
      </c>
      <c r="AF12" s="7" t="str">
        <f t="shared" si="1"/>
        <v>0=[活动活跃度奖励](4);0=[活动物品奖励](4801001,1);0=[活动物品奖励](4801002,1);1=[活动活跃度奖励](4);1=[活动物品奖励](4801001,1);1=[活动物品奖励](4801002,1);2=[活动活跃度奖励](4);2=[活动物品奖励](4801001,1);2=[活动物品奖励](4801002,1);3=[活动活跃度奖励](4);3=[活动物品奖励](4801001,1);3=[活动物品奖励](4801002,1);4=[活动活跃度奖励](4);4=[活动物品奖励](4801001,1);4=[活动物品奖励](4801002,1);5=[活动活跃度奖励](4);5=[活动物品奖励](4801001,1);5=[活动物品奖励](4801002,1);</v>
      </c>
      <c r="AG12" s="7" t="s">
        <v>259</v>
      </c>
      <c r="AH12" s="7" t="s">
        <v>165</v>
      </c>
      <c r="AJ12" s="7" t="s">
        <v>260</v>
      </c>
      <c r="AK12" s="7">
        <v>24</v>
      </c>
      <c r="AL12" s="7">
        <v>1726</v>
      </c>
      <c r="AN12" s="7" t="s">
        <v>261</v>
      </c>
      <c r="AO12" s="7">
        <v>0</v>
      </c>
    </row>
    <row r="13" spans="1:42" ht="71.25" customHeight="1" x14ac:dyDescent="0.15">
      <c r="A13" s="7">
        <v>11</v>
      </c>
      <c r="B13" s="7" t="s">
        <v>262</v>
      </c>
      <c r="C13" s="7" t="s">
        <v>263</v>
      </c>
      <c r="D13" s="7" t="s">
        <v>264</v>
      </c>
      <c r="E13" s="7" t="s">
        <v>232</v>
      </c>
      <c r="F13" s="7">
        <v>-1</v>
      </c>
      <c r="G13" s="9" t="s">
        <v>265</v>
      </c>
      <c r="H13" s="9" t="s">
        <v>265</v>
      </c>
      <c r="I13" s="9" t="s">
        <v>266</v>
      </c>
      <c r="J13" s="7" t="s">
        <v>109</v>
      </c>
      <c r="K13" s="7" t="s">
        <v>181</v>
      </c>
      <c r="L13" s="7">
        <v>86400</v>
      </c>
      <c r="M13" s="7">
        <v>-1</v>
      </c>
      <c r="N13" s="7">
        <v>1</v>
      </c>
      <c r="O13" s="7">
        <v>0</v>
      </c>
      <c r="R13" s="7" t="s">
        <v>267</v>
      </c>
      <c r="T13" s="7">
        <v>459887430</v>
      </c>
      <c r="U13" s="7">
        <v>9</v>
      </c>
      <c r="W13" s="7" t="s">
        <v>163</v>
      </c>
      <c r="Z13" s="7" t="str">
        <f t="shared" si="2"/>
        <v/>
      </c>
      <c r="AF13" s="7" t="str">
        <f t="shared" si="1"/>
        <v/>
      </c>
      <c r="AG13" s="7" t="s">
        <v>248</v>
      </c>
      <c r="AH13" s="7" t="s">
        <v>165</v>
      </c>
      <c r="AI13" s="7" t="s">
        <v>268</v>
      </c>
      <c r="AJ13" s="7">
        <v>23</v>
      </c>
      <c r="AN13" s="7" t="s">
        <v>263</v>
      </c>
      <c r="AO13" s="7">
        <v>0</v>
      </c>
    </row>
    <row r="14" spans="1:42" ht="185.25" customHeight="1" x14ac:dyDescent="0.15">
      <c r="A14" s="7">
        <v>12</v>
      </c>
      <c r="B14" s="7" t="s">
        <v>269</v>
      </c>
      <c r="C14" s="7" t="s">
        <v>270</v>
      </c>
      <c r="D14" s="7" t="s">
        <v>264</v>
      </c>
      <c r="E14" s="7" t="s">
        <v>179</v>
      </c>
      <c r="F14" s="7">
        <v>-1</v>
      </c>
      <c r="G14" s="9" t="s">
        <v>271</v>
      </c>
      <c r="H14" s="9" t="s">
        <v>271</v>
      </c>
      <c r="I14" s="9" t="s">
        <v>266</v>
      </c>
      <c r="J14" s="7" t="s">
        <v>109</v>
      </c>
      <c r="K14" s="7" t="s">
        <v>272</v>
      </c>
      <c r="L14" s="7">
        <v>30</v>
      </c>
      <c r="M14" s="7">
        <v>-1</v>
      </c>
      <c r="N14" s="7">
        <v>4</v>
      </c>
      <c r="O14" s="7">
        <v>-1</v>
      </c>
      <c r="R14" s="7" t="s">
        <v>273</v>
      </c>
      <c r="T14" s="7">
        <v>-1454796970</v>
      </c>
      <c r="U14" s="7">
        <v>10</v>
      </c>
      <c r="W14" s="7" t="s">
        <v>163</v>
      </c>
      <c r="Y14" s="7" t="s">
        <v>274</v>
      </c>
      <c r="Z14" s="7" t="str">
        <f t="shared" si="2"/>
        <v>0=[活动物品奖励](4801014,1);0=[活动物品奖励](4540001,1);0=[活动物品奖励](4540004,1);</v>
      </c>
      <c r="AA14" s="7" t="s">
        <v>275</v>
      </c>
      <c r="AB14" s="7" t="str">
        <f t="shared" ref="AB14:AE15" si="4">SUBSTITUTE($AA14,"1=",AB$4)</f>
        <v>2=[活动物品奖励](4801014,1);2=[活动物品奖励](4540001,1);2=[活动物品奖励](4540004,1);</v>
      </c>
      <c r="AC14" s="7" t="str">
        <f t="shared" si="4"/>
        <v>3=[活动物品奖励](4801014,1);3=[活动物品奖励](4540001,1);3=[活动物品奖励](4540004,1);</v>
      </c>
      <c r="AD14" s="7" t="str">
        <f t="shared" si="4"/>
        <v>4=[活动物品奖励](4801014,1);4=[活动物品奖励](4540001,1);4=[活动物品奖励](4540004,1);</v>
      </c>
      <c r="AE14" s="7" t="str">
        <f t="shared" si="4"/>
        <v>5=[活动物品奖励](4801014,1);5=[活动物品奖励](4540001,1);5=[活动物品奖励](4540004,1);</v>
      </c>
      <c r="AF14" s="7" t="str">
        <f t="shared" si="1"/>
        <v>0=[活动物品奖励](4801014,1);0=[活动物品奖励](4540001,1);0=[活动物品奖励](4540004,1);1=[活动物品奖励](4801014,1);1=[活动物品奖励](4540001,1);1=[活动物品奖励](4540004,1);2=[活动物品奖励](4801014,1);2=[活动物品奖励](4540001,1);2=[活动物品奖励](4540004,1);3=[活动物品奖励](4801014,1);3=[活动物品奖励](4540001,1);3=[活动物品奖励](4540004,1);4=[活动物品奖励](4801014,1);4=[活动物品奖励](4540001,1);4=[活动物品奖励](4540004,1);5=[活动物品奖励](4801014,1);5=[活动物品奖励](4540001,1);5=[活动物品奖励](4540004,1);</v>
      </c>
      <c r="AG14" s="7" t="s">
        <v>248</v>
      </c>
      <c r="AH14" s="7" t="s">
        <v>276</v>
      </c>
      <c r="AI14" s="7" t="s">
        <v>277</v>
      </c>
      <c r="AJ14" s="7">
        <v>13</v>
      </c>
      <c r="AK14" s="7">
        <v>10130</v>
      </c>
      <c r="AL14" s="7" t="s">
        <v>278</v>
      </c>
      <c r="AN14" s="7" t="s">
        <v>279</v>
      </c>
      <c r="AO14" s="7">
        <v>0</v>
      </c>
    </row>
    <row r="15" spans="1:42" ht="256.5" customHeight="1" x14ac:dyDescent="0.15">
      <c r="A15" s="7">
        <v>13</v>
      </c>
      <c r="B15" s="7" t="s">
        <v>280</v>
      </c>
      <c r="C15" s="7" t="s">
        <v>281</v>
      </c>
      <c r="D15" s="7" t="s">
        <v>282</v>
      </c>
      <c r="E15" s="7">
        <v>1</v>
      </c>
      <c r="F15" s="7">
        <v>-1</v>
      </c>
      <c r="G15" s="9" t="s">
        <v>283</v>
      </c>
      <c r="H15" s="9" t="s">
        <v>283</v>
      </c>
      <c r="I15" s="7"/>
      <c r="J15" s="7" t="s">
        <v>109</v>
      </c>
      <c r="K15" s="7" t="s">
        <v>181</v>
      </c>
      <c r="L15" s="7">
        <v>86400</v>
      </c>
      <c r="M15" s="7">
        <v>-1</v>
      </c>
      <c r="N15" s="7">
        <v>4</v>
      </c>
      <c r="O15" s="7">
        <v>1</v>
      </c>
      <c r="T15" s="7">
        <v>-150060372</v>
      </c>
      <c r="W15" s="7" t="s">
        <v>284</v>
      </c>
      <c r="Y15" s="7" t="s">
        <v>285</v>
      </c>
      <c r="Z15" s="7" t="str">
        <f t="shared" si="2"/>
        <v>0=[活动物品奖励](4800003,1);0=[活动物品奖励](4800002,1);0=[活动物品奖励](4801002,1);0=[活动物品奖励](4801009,1);</v>
      </c>
      <c r="AA15" s="7" t="s">
        <v>286</v>
      </c>
      <c r="AB15" s="7" t="str">
        <f t="shared" si="4"/>
        <v>2=[活动物品奖励](4800003,1);2=[活动物品奖励](4800002,1);2=[活动物品奖励](4801002,1);2=[活动物品奖励](4801009,1);</v>
      </c>
      <c r="AC15" s="7" t="str">
        <f t="shared" si="4"/>
        <v>3=[活动物品奖励](4800003,1);3=[活动物品奖励](4800002,1);3=[活动物品奖励](4801002,1);3=[活动物品奖励](4801009,1);</v>
      </c>
      <c r="AD15" s="7" t="str">
        <f t="shared" si="4"/>
        <v>4=[活动物品奖励](4800003,1);4=[活动物品奖励](4800002,1);4=[活动物品奖励](4801002,1);4=[活动物品奖励](4801009,1);</v>
      </c>
      <c r="AE15" s="7" t="str">
        <f t="shared" si="4"/>
        <v>5=[活动物品奖励](4800003,1);5=[活动物品奖励](4800002,1);5=[活动物品奖励](4801002,1);5=[活动物品奖励](4801009,1);</v>
      </c>
      <c r="AF15" s="7" t="str">
        <f t="shared" si="1"/>
        <v>0=[活动物品奖励](4800003,1);0=[活动物品奖励](4800002,1);0=[活动物品奖励](4801002,1);0=[活动物品奖励](4801009,1);1=[活动物品奖励](4800003,1);1=[活动物品奖励](4800002,1);1=[活动物品奖励](4801002,1);1=[活动物品奖励](4801009,1);2=[活动物品奖励](4800003,1);2=[活动物品奖励](4800002,1);2=[活动物品奖励](4801002,1);2=[活动物品奖励](4801009,1);3=[活动物品奖励](4800003,1);3=[活动物品奖励](4800002,1);3=[活动物品奖励](4801002,1);3=[活动物品奖励](4801009,1);4=[活动物品奖励](4800003,1);4=[活动物品奖励](4800002,1);4=[活动物品奖励](4801002,1);4=[活动物品奖励](4801009,1);5=[活动物品奖励](4800003,1);5=[活动物品奖励](4800002,1);5=[活动物品奖励](4801002,1);5=[活动物品奖励](4801009,1);</v>
      </c>
      <c r="AG15" s="7" t="s">
        <v>208</v>
      </c>
      <c r="AH15" s="7" t="s">
        <v>287</v>
      </c>
      <c r="AJ15" s="7">
        <v>14</v>
      </c>
      <c r="AK15" s="7">
        <v>30</v>
      </c>
      <c r="AL15" s="7">
        <v>1786</v>
      </c>
      <c r="AN15" s="7" t="s">
        <v>288</v>
      </c>
      <c r="AO15" s="7">
        <v>0</v>
      </c>
    </row>
    <row r="16" spans="1:42" ht="13.5" customHeight="1" x14ac:dyDescent="0.15">
      <c r="A16" s="7">
        <v>15</v>
      </c>
      <c r="B16" s="7" t="s">
        <v>289</v>
      </c>
      <c r="C16" s="7" t="s">
        <v>290</v>
      </c>
      <c r="D16" s="7" t="s">
        <v>158</v>
      </c>
      <c r="E16" s="7" t="s">
        <v>179</v>
      </c>
      <c r="F16" s="7">
        <v>-1</v>
      </c>
      <c r="G16" s="9" t="s">
        <v>265</v>
      </c>
      <c r="H16" s="9" t="s">
        <v>265</v>
      </c>
      <c r="I16" s="7"/>
      <c r="J16" s="7" t="s">
        <v>109</v>
      </c>
      <c r="K16" s="7" t="s">
        <v>181</v>
      </c>
      <c r="L16" s="7">
        <v>86400</v>
      </c>
      <c r="M16" s="7">
        <v>1</v>
      </c>
      <c r="N16" s="7">
        <v>4</v>
      </c>
      <c r="O16" s="7">
        <v>-1</v>
      </c>
      <c r="T16" s="7">
        <v>1291458994</v>
      </c>
      <c r="W16" s="7" t="s">
        <v>163</v>
      </c>
      <c r="Z16" s="7" t="str">
        <f t="shared" si="2"/>
        <v/>
      </c>
      <c r="AF16" s="7" t="str">
        <f t="shared" si="1"/>
        <v/>
      </c>
      <c r="AG16" s="7" t="s">
        <v>291</v>
      </c>
      <c r="AH16" s="7" t="s">
        <v>165</v>
      </c>
      <c r="AJ16" s="7">
        <v>16</v>
      </c>
      <c r="AK16" s="7">
        <v>36</v>
      </c>
      <c r="AL16" s="7">
        <v>1754</v>
      </c>
      <c r="AN16" s="7" t="s">
        <v>290</v>
      </c>
      <c r="AO16" s="7">
        <v>0</v>
      </c>
    </row>
    <row r="17" spans="1:42" ht="180" customHeight="1" x14ac:dyDescent="0.15">
      <c r="A17" s="7">
        <v>16</v>
      </c>
      <c r="B17" s="7" t="s">
        <v>292</v>
      </c>
      <c r="C17" s="7" t="s">
        <v>293</v>
      </c>
      <c r="D17" s="7" t="s">
        <v>178</v>
      </c>
      <c r="E17" s="7">
        <v>0</v>
      </c>
      <c r="F17" s="7">
        <v>-1</v>
      </c>
      <c r="G17" s="9" t="s">
        <v>180</v>
      </c>
      <c r="H17" s="9" t="s">
        <v>180</v>
      </c>
      <c r="I17" s="7"/>
      <c r="J17" s="7" t="s">
        <v>109</v>
      </c>
      <c r="K17" s="7" t="s">
        <v>181</v>
      </c>
      <c r="L17" s="7">
        <v>86400</v>
      </c>
      <c r="M17" s="7">
        <v>1</v>
      </c>
      <c r="N17" s="7">
        <v>1</v>
      </c>
      <c r="O17" s="7">
        <v>0</v>
      </c>
      <c r="P17" s="7" t="s">
        <v>233</v>
      </c>
      <c r="R17" s="7" t="s">
        <v>294</v>
      </c>
      <c r="S17" s="7" t="s">
        <v>295</v>
      </c>
      <c r="T17" s="7">
        <v>1905930242</v>
      </c>
      <c r="W17" s="7" t="s">
        <v>296</v>
      </c>
      <c r="Y17" s="7" t="s">
        <v>297</v>
      </c>
      <c r="Z17" s="7" t="str">
        <f t="shared" si="2"/>
        <v>0=[活动活跃度奖励](4);0=[活动物品奖励](4800004,1);0=[活动物品奖励](4800005,1);0=[活动物品奖励](4800006,1);0=[活动物品奖励](4110011,1);</v>
      </c>
      <c r="AA17" s="7" t="s">
        <v>298</v>
      </c>
      <c r="AB17" s="7" t="str">
        <f t="shared" ref="AB17:AE25" si="5">SUBSTITUTE($AA17,"1=",AB$4)</f>
        <v>2=[活动活跃度奖励](4);2=[活动物品奖励](4800004,1);2=[活动物品奖励](4800005,1);2=[活动物品奖励](4800006,1);2=[活动物品奖励](4110011,1);</v>
      </c>
      <c r="AC17" s="7" t="str">
        <f t="shared" si="5"/>
        <v>3=[活动活跃度奖励](4);3=[活动物品奖励](4800004,1);3=[活动物品奖励](4800005,1);3=[活动物品奖励](4800006,1);3=[活动物品奖励](4110011,1);</v>
      </c>
      <c r="AD17" s="7" t="str">
        <f t="shared" si="5"/>
        <v>4=[活动活跃度奖励](4);4=[活动物品奖励](4800004,1);4=[活动物品奖励](4800005,1);4=[活动物品奖励](4800006,1);4=[活动物品奖励](4110011,1);</v>
      </c>
      <c r="AE17" s="7" t="str">
        <f t="shared" si="5"/>
        <v>5=[活动活跃度奖励](4);5=[活动物品奖励](4800004,1);5=[活动物品奖励](4800005,1);5=[活动物品奖励](4800006,1);5=[活动物品奖励](4110011,1);</v>
      </c>
      <c r="AF17" s="7" t="str">
        <f t="shared" si="1"/>
        <v>0=[活动活跃度奖励](4);0=[活动物品奖励](4800004,1);0=[活动物品奖励](4800005,1);0=[活动物品奖励](4800006,1);0=[活动物品奖励](4110011,1);1=[活动活跃度奖励](4);1=[活动物品奖励](4800004,1);1=[活动物品奖励](4800005,1);1=[活动物品奖励](4800006,1);1=[活动物品奖励](4110011,1);2=[活动活跃度奖励](4);2=[活动物品奖励](4800004,1);2=[活动物品奖励](4800005,1);2=[活动物品奖励](4800006,1);2=[活动物品奖励](4110011,1);3=[活动活跃度奖励](4);3=[活动物品奖励](4800004,1);3=[活动物品奖励](4800005,1);3=[活动物品奖励](4800006,1);3=[活动物品奖励](4110011,1);4=[活动活跃度奖励](4);4=[活动物品奖励](4800004,1);4=[活动物品奖励](4800005,1);4=[活动物品奖励](4800006,1);4=[活动物品奖励](4110011,1);5=[活动活跃度奖励](4);5=[活动物品奖励](4800004,1);5=[活动物品奖励](4800005,1);5=[活动物品奖励](4800006,1);5=[活动物品奖励](4110011,1);</v>
      </c>
      <c r="AG17" s="7" t="s">
        <v>299</v>
      </c>
      <c r="AH17" s="7" t="s">
        <v>165</v>
      </c>
      <c r="AJ17" s="7">
        <v>17</v>
      </c>
      <c r="AK17" s="7">
        <v>34</v>
      </c>
      <c r="AL17" s="7">
        <v>1745</v>
      </c>
      <c r="AN17" s="7" t="s">
        <v>300</v>
      </c>
      <c r="AO17" s="7">
        <v>0</v>
      </c>
    </row>
    <row r="18" spans="1:42" ht="45.75" customHeight="1" x14ac:dyDescent="0.15">
      <c r="A18" s="7">
        <v>18</v>
      </c>
      <c r="B18" s="7" t="s">
        <v>301</v>
      </c>
      <c r="C18" s="7" t="s">
        <v>302</v>
      </c>
      <c r="D18" s="7" t="s">
        <v>178</v>
      </c>
      <c r="E18" s="7" t="s">
        <v>232</v>
      </c>
      <c r="F18" s="7">
        <v>-1</v>
      </c>
      <c r="G18" s="9" t="s">
        <v>303</v>
      </c>
      <c r="H18" s="9" t="s">
        <v>303</v>
      </c>
      <c r="I18" s="7"/>
      <c r="J18" s="7" t="s">
        <v>109</v>
      </c>
      <c r="K18" s="7" t="s">
        <v>181</v>
      </c>
      <c r="L18" s="7">
        <v>86400</v>
      </c>
      <c r="M18" s="7">
        <v>1</v>
      </c>
      <c r="N18" s="7">
        <v>1</v>
      </c>
      <c r="O18" s="7">
        <v>0</v>
      </c>
      <c r="P18" s="7" t="s">
        <v>233</v>
      </c>
      <c r="R18" s="7" t="s">
        <v>304</v>
      </c>
      <c r="S18" s="7" t="s">
        <v>255</v>
      </c>
      <c r="T18" s="7">
        <v>-898733284</v>
      </c>
      <c r="W18" s="7" t="s">
        <v>305</v>
      </c>
      <c r="Y18" s="7" t="s">
        <v>306</v>
      </c>
      <c r="Z18" s="7" t="str">
        <f t="shared" si="2"/>
        <v>0=[活动活跃度奖励](4);0=[活动物品奖励](4801001,1);0=[活动物品奖励](4801002,1);0=[活动物品奖励](4560003,1);</v>
      </c>
      <c r="AA18" s="7" t="s">
        <v>307</v>
      </c>
      <c r="AB18" s="7" t="str">
        <f t="shared" si="5"/>
        <v>2=[活动活跃度奖励](4);2=[活动物品奖励](4801001,1);2=[活动物品奖励](4801002,1);2=[活动物品奖励](4560003,1);</v>
      </c>
      <c r="AC18" s="7" t="str">
        <f t="shared" si="5"/>
        <v>3=[活动活跃度奖励](4);3=[活动物品奖励](4801001,1);3=[活动物品奖励](4801002,1);3=[活动物品奖励](4560003,1);</v>
      </c>
      <c r="AD18" s="7" t="str">
        <f t="shared" si="5"/>
        <v>4=[活动活跃度奖励](4);4=[活动物品奖励](4801001,1);4=[活动物品奖励](4801002,1);4=[活动物品奖励](4560003,1);</v>
      </c>
      <c r="AE18" s="7" t="str">
        <f t="shared" si="5"/>
        <v>5=[活动活跃度奖励](4);5=[活动物品奖励](4801001,1);5=[活动物品奖励](4801002,1);5=[活动物品奖励](4560003,1);</v>
      </c>
      <c r="AF18" s="7" t="str">
        <f t="shared" si="1"/>
        <v>0=[活动活跃度奖励](4);0=[活动物品奖励](4801001,1);0=[活动物品奖励](4801002,1);0=[活动物品奖励](4560003,1);1=[活动活跃度奖励](4);1=[活动物品奖励](4801001,1);1=[活动物品奖励](4801002,1);1=[活动物品奖励](4560003,1);2=[活动活跃度奖励](4);2=[活动物品奖励](4801001,1);2=[活动物品奖励](4801002,1);2=[活动物品奖励](4560003,1);3=[活动活跃度奖励](4);3=[活动物品奖励](4801001,1);3=[活动物品奖励](4801002,1);3=[活动物品奖励](4560003,1);4=[活动活跃度奖励](4);4=[活动物品奖励](4801001,1);4=[活动物品奖励](4801002,1);4=[活动物品奖励](4560003,1);5=[活动活跃度奖励](4);5=[活动物品奖励](4801001,1);5=[活动物品奖励](4801002,1);5=[活动物品奖励](4560003,1);</v>
      </c>
      <c r="AG18" s="7" t="s">
        <v>186</v>
      </c>
      <c r="AH18" s="7" t="s">
        <v>165</v>
      </c>
      <c r="AJ18" s="7" t="s">
        <v>308</v>
      </c>
      <c r="AK18" s="7">
        <v>28</v>
      </c>
      <c r="AL18" s="7">
        <v>1730</v>
      </c>
      <c r="AN18" s="7" t="s">
        <v>309</v>
      </c>
      <c r="AO18" s="7">
        <v>0</v>
      </c>
    </row>
    <row r="19" spans="1:42" ht="255.75" customHeight="1" x14ac:dyDescent="0.15">
      <c r="A19" s="7">
        <v>19</v>
      </c>
      <c r="B19" s="7" t="s">
        <v>310</v>
      </c>
      <c r="C19" s="7" t="s">
        <v>311</v>
      </c>
      <c r="D19" s="7" t="s">
        <v>158</v>
      </c>
      <c r="E19" s="7" t="s">
        <v>179</v>
      </c>
      <c r="F19" s="7">
        <v>-1</v>
      </c>
      <c r="G19" s="9" t="s">
        <v>312</v>
      </c>
      <c r="H19" s="9" t="s">
        <v>312</v>
      </c>
      <c r="I19" s="7"/>
      <c r="J19" s="7" t="s">
        <v>109</v>
      </c>
      <c r="K19" s="7" t="s">
        <v>313</v>
      </c>
      <c r="L19" s="7">
        <v>1800</v>
      </c>
      <c r="M19" s="7">
        <v>2</v>
      </c>
      <c r="N19" s="7">
        <v>4</v>
      </c>
      <c r="O19" s="7">
        <v>-1</v>
      </c>
      <c r="R19" s="7" t="s">
        <v>314</v>
      </c>
      <c r="T19" s="7">
        <v>2018424588</v>
      </c>
      <c r="U19" s="7">
        <v>13</v>
      </c>
      <c r="V19" s="7" t="s">
        <v>315</v>
      </c>
      <c r="W19" s="7" t="s">
        <v>163</v>
      </c>
      <c r="Y19" s="7" t="s">
        <v>316</v>
      </c>
      <c r="Z19" s="7" t="str">
        <f t="shared" si="2"/>
        <v>0=[活动物品奖励](4801015,1);</v>
      </c>
      <c r="AA19" s="7" t="s">
        <v>317</v>
      </c>
      <c r="AB19" s="7" t="str">
        <f t="shared" si="5"/>
        <v>2=[活动物品奖励](4801015,1);</v>
      </c>
      <c r="AC19" s="7" t="str">
        <f t="shared" si="5"/>
        <v>3=[活动物品奖励](4801015,1);</v>
      </c>
      <c r="AD19" s="7" t="str">
        <f t="shared" si="5"/>
        <v>4=[活动物品奖励](4801015,1);</v>
      </c>
      <c r="AE19" s="7" t="str">
        <f t="shared" si="5"/>
        <v>5=[活动物品奖励](4801015,1);</v>
      </c>
      <c r="AF19" s="7" t="str">
        <f t="shared" si="1"/>
        <v>0=[活动物品奖励](4801015,1);1=[活动物品奖励](4801015,1);2=[活动物品奖励](4801015,1);3=[活动物品奖励](4801015,1);4=[活动物品奖励](4801015,1);5=[活动物品奖励](4801015,1);</v>
      </c>
      <c r="AG19" s="7" t="s">
        <v>318</v>
      </c>
      <c r="AH19" s="7" t="s">
        <v>319</v>
      </c>
      <c r="AJ19" s="7">
        <v>19</v>
      </c>
      <c r="AK19" s="7">
        <v>37</v>
      </c>
      <c r="AL19" s="7">
        <v>1217</v>
      </c>
      <c r="AM19" s="7" t="s">
        <v>320</v>
      </c>
      <c r="AN19" s="7" t="s">
        <v>321</v>
      </c>
      <c r="AO19" s="7">
        <v>0</v>
      </c>
    </row>
    <row r="20" spans="1:42" ht="171" customHeight="1" x14ac:dyDescent="0.15">
      <c r="A20" s="7">
        <v>21</v>
      </c>
      <c r="B20" s="7" t="s">
        <v>322</v>
      </c>
      <c r="C20" s="7" t="s">
        <v>323</v>
      </c>
      <c r="D20" s="7" t="s">
        <v>178</v>
      </c>
      <c r="E20" s="7">
        <v>0</v>
      </c>
      <c r="F20" s="7">
        <v>-1</v>
      </c>
      <c r="G20" s="9" t="s">
        <v>265</v>
      </c>
      <c r="H20" s="9" t="s">
        <v>265</v>
      </c>
      <c r="I20" s="7"/>
      <c r="J20" s="7" t="s">
        <v>109</v>
      </c>
      <c r="K20" s="7" t="s">
        <v>181</v>
      </c>
      <c r="L20" s="7">
        <v>86400</v>
      </c>
      <c r="M20" s="7">
        <v>5</v>
      </c>
      <c r="N20" s="7">
        <v>1</v>
      </c>
      <c r="O20" s="7">
        <v>0</v>
      </c>
      <c r="R20" s="7" t="s">
        <v>324</v>
      </c>
      <c r="T20" s="7">
        <v>42919020</v>
      </c>
      <c r="W20" s="7" t="s">
        <v>325</v>
      </c>
      <c r="Y20" s="7" t="s">
        <v>326</v>
      </c>
      <c r="Z20" s="7" t="str">
        <f t="shared" si="2"/>
        <v>0=[活动活跃度奖励](5);0=[活动物品奖励](4801001,1);0=[活动物品奖励](4801015,1);</v>
      </c>
      <c r="AA20" s="7" t="s">
        <v>327</v>
      </c>
      <c r="AB20" s="7" t="str">
        <f t="shared" si="5"/>
        <v>2=[活动活跃度奖励](5);2=[活动物品奖励](4801001,1);2=[活动物品奖励](4801015,1);</v>
      </c>
      <c r="AC20" s="7" t="str">
        <f t="shared" si="5"/>
        <v>3=[活动活跃度奖励](5);3=[活动物品奖励](4801001,1);3=[活动物品奖励](4801015,1);</v>
      </c>
      <c r="AD20" s="7" t="str">
        <f t="shared" si="5"/>
        <v>4=[活动活跃度奖励](5);4=[活动物品奖励](4801001,1);4=[活动物品奖励](4801015,1);</v>
      </c>
      <c r="AE20" s="7" t="str">
        <f t="shared" si="5"/>
        <v>5=[活动活跃度奖励](5);5=[活动物品奖励](4801001,1);5=[活动物品奖励](4801015,1);</v>
      </c>
      <c r="AF20" s="7" t="str">
        <f t="shared" si="1"/>
        <v>0=[活动活跃度奖励](5);0=[活动物品奖励](4801001,1);0=[活动物品奖励](4801015,1);1=[活动活跃度奖励](5);1=[活动物品奖励](4801001,1);1=[活动物品奖励](4801015,1);2=[活动活跃度奖励](5);2=[活动物品奖励](4801001,1);2=[活动物品奖励](4801015,1);3=[活动活跃度奖励](5);3=[活动物品奖励](4801001,1);3=[活动物品奖励](4801015,1);4=[活动活跃度奖励](5);4=[活动物品奖励](4801001,1);4=[活动物品奖励](4801015,1);5=[活动活跃度奖励](5);5=[活动物品奖励](4801001,1);5=[活动物品奖励](4801015,1);</v>
      </c>
      <c r="AG20" s="7" t="s">
        <v>238</v>
      </c>
      <c r="AH20" s="7" t="s">
        <v>165</v>
      </c>
      <c r="AJ20" s="7">
        <v>20</v>
      </c>
      <c r="AL20" s="7" t="s">
        <v>328</v>
      </c>
      <c r="AN20" s="7" t="s">
        <v>329</v>
      </c>
      <c r="AO20" s="7">
        <v>0</v>
      </c>
    </row>
    <row r="21" spans="1:42" ht="128.25" customHeight="1" x14ac:dyDescent="0.15">
      <c r="A21" s="7">
        <v>23</v>
      </c>
      <c r="B21" s="7" t="s">
        <v>330</v>
      </c>
      <c r="C21" s="7" t="s">
        <v>331</v>
      </c>
      <c r="D21" s="7" t="s">
        <v>178</v>
      </c>
      <c r="E21" s="7">
        <v>0</v>
      </c>
      <c r="F21" s="7">
        <v>-1</v>
      </c>
      <c r="G21" s="9" t="s">
        <v>332</v>
      </c>
      <c r="H21" s="9" t="s">
        <v>332</v>
      </c>
      <c r="I21" s="7"/>
      <c r="J21" s="7" t="s">
        <v>109</v>
      </c>
      <c r="K21" s="7" t="s">
        <v>181</v>
      </c>
      <c r="L21" s="7">
        <v>86400</v>
      </c>
      <c r="M21" s="7">
        <v>1</v>
      </c>
      <c r="N21" s="7">
        <v>1</v>
      </c>
      <c r="O21" s="7">
        <v>0</v>
      </c>
      <c r="R21" s="7" t="s">
        <v>333</v>
      </c>
      <c r="T21" s="7">
        <v>1160683196</v>
      </c>
      <c r="U21" s="7">
        <v>12</v>
      </c>
      <c r="W21" s="7" t="s">
        <v>334</v>
      </c>
      <c r="Y21" s="7" t="s">
        <v>335</v>
      </c>
      <c r="Z21" s="7" t="str">
        <f t="shared" si="2"/>
        <v>0=[活动物品奖励](4801001,1);0=[活动物品奖励](4801003,1);</v>
      </c>
      <c r="AA21" s="7" t="s">
        <v>336</v>
      </c>
      <c r="AB21" s="7" t="str">
        <f t="shared" si="5"/>
        <v>2=[活动物品奖励](4801001,1);2=[活动物品奖励](4801003,1);</v>
      </c>
      <c r="AC21" s="7" t="str">
        <f t="shared" si="5"/>
        <v>3=[活动物品奖励](4801001,1);3=[活动物品奖励](4801003,1);</v>
      </c>
      <c r="AD21" s="7" t="str">
        <f t="shared" si="5"/>
        <v>4=[活动物品奖励](4801001,1);4=[活动物品奖励](4801003,1);</v>
      </c>
      <c r="AE21" s="7" t="str">
        <f t="shared" si="5"/>
        <v>5=[活动物品奖励](4801001,1);5=[活动物品奖励](4801003,1);</v>
      </c>
      <c r="AF21" s="7" t="str">
        <f t="shared" si="1"/>
        <v>0=[活动物品奖励](4801001,1);0=[活动物品奖励](4801003,1);1=[活动物品奖励](4801001,1);1=[活动物品奖励](4801003,1);2=[活动物品奖励](4801001,1);2=[活动物品奖励](4801003,1);3=[活动物品奖励](4801001,1);3=[活动物品奖励](4801003,1);4=[活动物品奖励](4801001,1);4=[活动物品奖励](4801003,1);5=[活动物品奖励](4801001,1);5=[活动物品奖励](4801003,1);</v>
      </c>
      <c r="AG21" s="7" t="s">
        <v>186</v>
      </c>
      <c r="AH21" s="7" t="s">
        <v>165</v>
      </c>
      <c r="AJ21" s="7">
        <v>22</v>
      </c>
      <c r="AL21" s="7">
        <v>1735</v>
      </c>
      <c r="AM21" s="7" t="s">
        <v>337</v>
      </c>
      <c r="AN21" s="7" t="s">
        <v>338</v>
      </c>
      <c r="AO21" s="7">
        <v>0</v>
      </c>
    </row>
    <row r="22" spans="1:42" ht="99.75" customHeight="1" x14ac:dyDescent="0.15">
      <c r="A22" s="7">
        <v>25</v>
      </c>
      <c r="B22" s="7" t="s">
        <v>339</v>
      </c>
      <c r="C22" s="7" t="s">
        <v>340</v>
      </c>
      <c r="D22" s="7" t="s">
        <v>178</v>
      </c>
      <c r="E22" s="7" t="s">
        <v>232</v>
      </c>
      <c r="F22" s="7">
        <v>-1</v>
      </c>
      <c r="G22" s="9" t="s">
        <v>283</v>
      </c>
      <c r="H22" s="9" t="s">
        <v>283</v>
      </c>
      <c r="I22" s="7"/>
      <c r="J22" s="7" t="s">
        <v>109</v>
      </c>
      <c r="K22" s="7" t="s">
        <v>181</v>
      </c>
      <c r="L22" s="7">
        <v>86400</v>
      </c>
      <c r="M22" s="7">
        <v>1</v>
      </c>
      <c r="N22" s="7">
        <v>1</v>
      </c>
      <c r="O22" s="7">
        <v>0</v>
      </c>
      <c r="P22" s="7" t="s">
        <v>233</v>
      </c>
      <c r="R22" s="7" t="s">
        <v>341</v>
      </c>
      <c r="S22" s="7" t="s">
        <v>342</v>
      </c>
      <c r="T22" s="7">
        <v>-1330759556</v>
      </c>
      <c r="W22" s="7" t="s">
        <v>343</v>
      </c>
      <c r="Y22" s="7" t="s">
        <v>344</v>
      </c>
      <c r="Z22" s="7" t="str">
        <f t="shared" si="2"/>
        <v>0=[活动活跃度奖励](4);0=[活动物品奖励](4801016,1);</v>
      </c>
      <c r="AA22" s="7" t="s">
        <v>345</v>
      </c>
      <c r="AB22" s="7" t="str">
        <f t="shared" si="5"/>
        <v>2=[活动活跃度奖励](4);2=[活动物品奖励](4801016,1);</v>
      </c>
      <c r="AC22" s="7" t="str">
        <f t="shared" si="5"/>
        <v>3=[活动活跃度奖励](4);3=[活动物品奖励](4801016,1);</v>
      </c>
      <c r="AD22" s="7" t="str">
        <f t="shared" si="5"/>
        <v>4=[活动活跃度奖励](4);4=[活动物品奖励](4801016,1);</v>
      </c>
      <c r="AE22" s="7" t="str">
        <f t="shared" si="5"/>
        <v>5=[活动活跃度奖励](4);5=[活动物品奖励](4801016,1);</v>
      </c>
      <c r="AF22" s="7" t="str">
        <f t="shared" si="1"/>
        <v>0=[活动活跃度奖励](4);0=[活动物品奖励](4801016,1);1=[活动活跃度奖励](4);1=[活动物品奖励](4801016,1);2=[活动活跃度奖励](4);2=[活动物品奖励](4801016,1);3=[活动活跃度奖励](4);3=[活动物品奖励](4801016,1);4=[活动活跃度奖励](4);4=[活动物品奖励](4801016,1);5=[活动活跃度奖励](4);5=[活动物品奖励](4801016,1);</v>
      </c>
      <c r="AG22" s="7" t="s">
        <v>346</v>
      </c>
      <c r="AH22" s="7" t="s">
        <v>165</v>
      </c>
      <c r="AI22" s="7" t="s">
        <v>347</v>
      </c>
      <c r="AJ22" s="7" t="s">
        <v>348</v>
      </c>
      <c r="AK22" s="7">
        <v>31</v>
      </c>
      <c r="AN22" s="7" t="s">
        <v>349</v>
      </c>
      <c r="AO22" s="7">
        <v>0</v>
      </c>
      <c r="AP22" s="7" t="s">
        <v>350</v>
      </c>
    </row>
    <row r="23" spans="1:42" ht="142.5" customHeight="1" x14ac:dyDescent="0.15">
      <c r="A23" s="7">
        <v>26</v>
      </c>
      <c r="B23" s="7" t="s">
        <v>351</v>
      </c>
      <c r="C23" s="7" t="s">
        <v>352</v>
      </c>
      <c r="D23" s="7" t="s">
        <v>264</v>
      </c>
      <c r="E23" s="7" t="s">
        <v>232</v>
      </c>
      <c r="F23" s="7">
        <v>-1</v>
      </c>
      <c r="G23" s="9" t="s">
        <v>253</v>
      </c>
      <c r="H23" s="9" t="s">
        <v>253</v>
      </c>
      <c r="I23" s="7"/>
      <c r="J23" s="7" t="s">
        <v>109</v>
      </c>
      <c r="K23" s="7" t="s">
        <v>181</v>
      </c>
      <c r="L23" s="7">
        <v>86400</v>
      </c>
      <c r="M23" s="7">
        <v>15</v>
      </c>
      <c r="N23" s="7">
        <v>1</v>
      </c>
      <c r="O23" s="7">
        <v>0</v>
      </c>
      <c r="R23" s="7" t="s">
        <v>353</v>
      </c>
      <c r="T23" s="7">
        <v>459887430</v>
      </c>
      <c r="U23" s="7">
        <v>14</v>
      </c>
      <c r="W23" s="7" t="s">
        <v>163</v>
      </c>
      <c r="Y23" s="7" t="s">
        <v>354</v>
      </c>
      <c r="Z23" s="7" t="str">
        <f t="shared" si="2"/>
        <v>0=[活动物品奖励](4800003,1);</v>
      </c>
      <c r="AA23" s="7" t="s">
        <v>355</v>
      </c>
      <c r="AB23" s="7" t="str">
        <f t="shared" si="5"/>
        <v>2=[活动物品奖励](4800003,1);</v>
      </c>
      <c r="AC23" s="7" t="str">
        <f t="shared" si="5"/>
        <v>3=[活动物品奖励](4800003,1);</v>
      </c>
      <c r="AD23" s="7" t="str">
        <f t="shared" si="5"/>
        <v>4=[活动物品奖励](4800003,1);</v>
      </c>
      <c r="AE23" s="7" t="str">
        <f t="shared" si="5"/>
        <v>5=[活动物品奖励](4800003,1);</v>
      </c>
      <c r="AF23" s="7" t="str">
        <f t="shared" si="1"/>
        <v>0=[活动物品奖励](4800003,1);1=[活动物品奖励](4800003,1);2=[活动物品奖励](4800003,1);3=[活动物品奖励](4800003,1);4=[活动物品奖励](4800003,1);5=[活动物品奖励](4800003,1);</v>
      </c>
      <c r="AG23" s="7" t="s">
        <v>356</v>
      </c>
      <c r="AH23" s="7" t="s">
        <v>165</v>
      </c>
      <c r="AJ23" s="7" t="s">
        <v>357</v>
      </c>
      <c r="AK23" s="7">
        <v>38</v>
      </c>
      <c r="AL23" s="7">
        <v>1758</v>
      </c>
      <c r="AN23" s="7" t="s">
        <v>358</v>
      </c>
      <c r="AO23" s="7">
        <v>0</v>
      </c>
    </row>
    <row r="24" spans="1:42" ht="128.25" customHeight="1" x14ac:dyDescent="0.15">
      <c r="A24" s="7">
        <v>27</v>
      </c>
      <c r="B24" s="7" t="s">
        <v>359</v>
      </c>
      <c r="C24" s="7" t="s">
        <v>360</v>
      </c>
      <c r="D24" s="7" t="s">
        <v>178</v>
      </c>
      <c r="E24" s="7">
        <v>0</v>
      </c>
      <c r="F24" s="7">
        <v>-1</v>
      </c>
      <c r="G24" s="9" t="s">
        <v>283</v>
      </c>
      <c r="H24" s="9" t="s">
        <v>283</v>
      </c>
      <c r="I24" s="7"/>
      <c r="J24" s="7" t="s">
        <v>109</v>
      </c>
      <c r="K24" s="7" t="s">
        <v>181</v>
      </c>
      <c r="L24" s="7">
        <v>86400</v>
      </c>
      <c r="M24" s="7">
        <v>-1</v>
      </c>
      <c r="N24" s="7">
        <v>1</v>
      </c>
      <c r="O24" s="7">
        <v>0</v>
      </c>
      <c r="T24" s="7">
        <v>1601533251</v>
      </c>
      <c r="W24" s="7" t="s">
        <v>163</v>
      </c>
      <c r="Y24" s="7" t="s">
        <v>361</v>
      </c>
      <c r="Z24" s="7" t="str">
        <f t="shared" si="2"/>
        <v>0=[活动物品奖励](4801001,1);</v>
      </c>
      <c r="AA24" s="7" t="s">
        <v>362</v>
      </c>
      <c r="AB24" s="7" t="str">
        <f t="shared" si="5"/>
        <v>2=[活动物品奖励](4801001,1);</v>
      </c>
      <c r="AC24" s="7" t="str">
        <f t="shared" si="5"/>
        <v>3=[活动物品奖励](4801001,1);</v>
      </c>
      <c r="AD24" s="7" t="str">
        <f t="shared" si="5"/>
        <v>4=[活动物品奖励](4801001,1);</v>
      </c>
      <c r="AE24" s="7" t="str">
        <f t="shared" si="5"/>
        <v>5=[活动物品奖励](4801001,1);</v>
      </c>
      <c r="AF24" s="7" t="str">
        <f t="shared" si="1"/>
        <v>0=[活动物品奖励](4801001,1);1=[活动物品奖励](4801001,1);2=[活动物品奖励](4801001,1);3=[活动物品奖励](4801001,1);4=[活动物品奖励](4801001,1);5=[活动物品奖励](4801001,1);</v>
      </c>
      <c r="AG24" s="7" t="s">
        <v>363</v>
      </c>
      <c r="AH24" s="7" t="s">
        <v>165</v>
      </c>
      <c r="AJ24" s="7">
        <v>24</v>
      </c>
      <c r="AM24" s="7" t="s">
        <v>364</v>
      </c>
      <c r="AN24" s="7" t="s">
        <v>365</v>
      </c>
      <c r="AO24" s="7">
        <v>0</v>
      </c>
    </row>
    <row r="25" spans="1:42" ht="256.5" customHeight="1" x14ac:dyDescent="0.15">
      <c r="A25" s="7">
        <v>28</v>
      </c>
      <c r="B25" s="7" t="s">
        <v>366</v>
      </c>
      <c r="C25" s="7" t="s">
        <v>367</v>
      </c>
      <c r="D25" s="7" t="s">
        <v>158</v>
      </c>
      <c r="E25" s="7">
        <v>0</v>
      </c>
      <c r="F25" s="7">
        <v>-1</v>
      </c>
      <c r="G25" s="9" t="s">
        <v>368</v>
      </c>
      <c r="H25" s="9" t="s">
        <v>368</v>
      </c>
      <c r="I25" s="7"/>
      <c r="J25" s="7" t="s">
        <v>109</v>
      </c>
      <c r="K25" s="7" t="s">
        <v>181</v>
      </c>
      <c r="L25" s="7">
        <v>86400</v>
      </c>
      <c r="M25" s="7">
        <v>1</v>
      </c>
      <c r="N25" s="7">
        <v>1</v>
      </c>
      <c r="O25" s="7">
        <v>0</v>
      </c>
      <c r="R25" s="7" t="s">
        <v>369</v>
      </c>
      <c r="S25" s="7" t="s">
        <v>370</v>
      </c>
      <c r="T25" s="7">
        <v>42919020</v>
      </c>
      <c r="W25" s="7" t="s">
        <v>163</v>
      </c>
      <c r="Y25" s="7" t="s">
        <v>371</v>
      </c>
      <c r="Z25" s="7" t="str">
        <f t="shared" si="2"/>
        <v>0=[活动物品奖励](4801001,1);0=[活动物品奖励](4904001,1);0=[活动物品奖励](4801043,1);0=[活动物品奖励](4603001,1);</v>
      </c>
      <c r="AA25" s="7" t="s">
        <v>372</v>
      </c>
      <c r="AB25" s="7" t="str">
        <f t="shared" si="5"/>
        <v>2=[活动物品奖励](4801001,1);2=[活动物品奖励](4904001,1);2=[活动物品奖励](4801043,1);2=[活动物品奖励](4603001,1);</v>
      </c>
      <c r="AC25" s="7" t="str">
        <f t="shared" si="5"/>
        <v>3=[活动物品奖励](4801001,1);3=[活动物品奖励](4904001,1);3=[活动物品奖励](4801043,1);3=[活动物品奖励](4603001,1);</v>
      </c>
      <c r="AD25" s="7" t="str">
        <f t="shared" si="5"/>
        <v>4=[活动物品奖励](4801001,1);4=[活动物品奖励](4904001,1);4=[活动物品奖励](4801043,1);4=[活动物品奖励](4603001,1);</v>
      </c>
      <c r="AE25" s="7" t="str">
        <f t="shared" si="5"/>
        <v>5=[活动物品奖励](4801001,1);5=[活动物品奖励](4904001,1);5=[活动物品奖励](4801043,1);5=[活动物品奖励](4603001,1);</v>
      </c>
      <c r="AF25" s="7" t="str">
        <f t="shared" si="1"/>
        <v>0=[活动物品奖励](4801001,1);0=[活动物品奖励](4904001,1);0=[活动物品奖励](4801043,1);0=[活动物品奖励](4603001,1);1=[活动物品奖励](4801001,1);1=[活动物品奖励](4904001,1);1=[活动物品奖励](4801043,1);1=[活动物品奖励](4603001,1);2=[活动物品奖励](4801001,1);2=[活动物品奖励](4904001,1);2=[活动物品奖励](4801043,1);2=[活动物品奖励](4603001,1);3=[活动物品奖励](4801001,1);3=[活动物品奖励](4904001,1);3=[活动物品奖励](4801043,1);3=[活动物品奖励](4603001,1);4=[活动物品奖励](4801001,1);4=[活动物品奖励](4904001,1);4=[活动物品奖励](4801043,1);4=[活动物品奖励](4603001,1);5=[活动物品奖励](4801001,1);5=[活动物品奖励](4904001,1);5=[活动物品奖励](4801043,1);5=[活动物品奖励](4603001,1);</v>
      </c>
      <c r="AG25" s="7" t="s">
        <v>373</v>
      </c>
      <c r="AH25" s="7" t="s">
        <v>374</v>
      </c>
      <c r="AJ25" s="7">
        <v>25</v>
      </c>
      <c r="AK25" s="7">
        <v>0</v>
      </c>
      <c r="AM25" s="7" t="s">
        <v>375</v>
      </c>
      <c r="AN25" s="7" t="s">
        <v>376</v>
      </c>
      <c r="AO25" s="7">
        <v>0</v>
      </c>
    </row>
    <row r="26" spans="1:42" ht="142.5" customHeight="1" x14ac:dyDescent="0.15">
      <c r="A26" s="7">
        <v>29</v>
      </c>
      <c r="B26" s="7" t="s">
        <v>377</v>
      </c>
      <c r="C26" s="7" t="s">
        <v>281</v>
      </c>
      <c r="D26" s="7" t="s">
        <v>178</v>
      </c>
      <c r="E26" s="7">
        <v>0</v>
      </c>
      <c r="F26" s="7">
        <v>-1</v>
      </c>
      <c r="G26" s="9" t="s">
        <v>265</v>
      </c>
      <c r="H26" s="9" t="s">
        <v>265</v>
      </c>
      <c r="I26" s="7"/>
      <c r="J26" s="7" t="s">
        <v>109</v>
      </c>
      <c r="K26" s="7" t="s">
        <v>181</v>
      </c>
      <c r="L26" s="7">
        <v>86400</v>
      </c>
      <c r="M26" s="7">
        <v>-1</v>
      </c>
      <c r="N26" s="7">
        <v>4</v>
      </c>
      <c r="O26" s="7">
        <v>-1</v>
      </c>
      <c r="T26" s="7">
        <v>-898733284</v>
      </c>
      <c r="W26" s="7" t="s">
        <v>163</v>
      </c>
      <c r="Z26" s="7" t="str">
        <f t="shared" si="2"/>
        <v/>
      </c>
      <c r="AA26" s="7" t="str">
        <f>SUBSTITUTE(Y26,");[",");1=[")</f>
        <v/>
      </c>
      <c r="AF26" s="7" t="str">
        <f t="shared" si="1"/>
        <v/>
      </c>
      <c r="AG26" s="7" t="s">
        <v>287</v>
      </c>
      <c r="AH26" s="7" t="s">
        <v>165</v>
      </c>
      <c r="AJ26" s="7">
        <v>26</v>
      </c>
      <c r="AN26" s="7" t="s">
        <v>378</v>
      </c>
      <c r="AO26" s="7">
        <v>0</v>
      </c>
    </row>
    <row r="27" spans="1:42" ht="210.75" customHeight="1" x14ac:dyDescent="0.15">
      <c r="A27" s="7">
        <v>30</v>
      </c>
      <c r="B27" s="7" t="s">
        <v>379</v>
      </c>
      <c r="C27" s="7" t="s">
        <v>281</v>
      </c>
      <c r="D27" s="7" t="s">
        <v>178</v>
      </c>
      <c r="E27" s="7">
        <v>0</v>
      </c>
      <c r="F27" s="7">
        <v>-1</v>
      </c>
      <c r="G27" s="9" t="s">
        <v>265</v>
      </c>
      <c r="H27" s="9" t="s">
        <v>265</v>
      </c>
      <c r="I27" s="7"/>
      <c r="J27" s="7" t="s">
        <v>109</v>
      </c>
      <c r="K27" s="7" t="s">
        <v>181</v>
      </c>
      <c r="L27" s="7">
        <v>86400</v>
      </c>
      <c r="M27" s="7">
        <v>-1</v>
      </c>
      <c r="N27" s="7">
        <v>4</v>
      </c>
      <c r="O27" s="7">
        <v>-1</v>
      </c>
      <c r="T27" s="7">
        <v>-898733284</v>
      </c>
      <c r="W27" s="7" t="s">
        <v>163</v>
      </c>
      <c r="Z27" s="7" t="str">
        <f t="shared" si="2"/>
        <v/>
      </c>
      <c r="AA27" s="7" t="str">
        <f>SUBSTITUTE(Y27,");[",");1=[")</f>
        <v/>
      </c>
      <c r="AF27" s="7" t="str">
        <f t="shared" si="1"/>
        <v/>
      </c>
      <c r="AG27" s="7" t="s">
        <v>287</v>
      </c>
      <c r="AH27" s="7" t="s">
        <v>165</v>
      </c>
      <c r="AJ27" s="7">
        <v>27</v>
      </c>
      <c r="AN27" s="7" t="s">
        <v>380</v>
      </c>
      <c r="AO27" s="7">
        <v>0</v>
      </c>
    </row>
    <row r="28" spans="1:42" ht="114" customHeight="1" x14ac:dyDescent="0.15">
      <c r="A28" s="7">
        <v>31</v>
      </c>
      <c r="B28" s="7" t="s">
        <v>381</v>
      </c>
      <c r="C28" s="7" t="s">
        <v>281</v>
      </c>
      <c r="D28" s="7" t="s">
        <v>178</v>
      </c>
      <c r="E28" s="7">
        <v>0</v>
      </c>
      <c r="F28" s="7">
        <v>-1</v>
      </c>
      <c r="G28" s="9" t="s">
        <v>265</v>
      </c>
      <c r="H28" s="9" t="s">
        <v>265</v>
      </c>
      <c r="I28" s="7"/>
      <c r="J28" s="7" t="s">
        <v>109</v>
      </c>
      <c r="K28" s="7" t="s">
        <v>181</v>
      </c>
      <c r="L28" s="7">
        <v>86400</v>
      </c>
      <c r="M28" s="7">
        <v>-1</v>
      </c>
      <c r="N28" s="7">
        <v>4</v>
      </c>
      <c r="O28" s="7">
        <v>-1</v>
      </c>
      <c r="T28" s="7">
        <v>-898733284</v>
      </c>
      <c r="W28" s="7" t="s">
        <v>163</v>
      </c>
      <c r="Z28" s="7" t="str">
        <f t="shared" si="2"/>
        <v/>
      </c>
      <c r="AA28" s="7" t="str">
        <f>SUBSTITUTE(Y28,");[",");1=[")</f>
        <v/>
      </c>
      <c r="AF28" s="7" t="str">
        <f t="shared" si="1"/>
        <v/>
      </c>
      <c r="AG28" s="7" t="s">
        <v>287</v>
      </c>
      <c r="AH28" s="7" t="s">
        <v>165</v>
      </c>
      <c r="AJ28" s="7">
        <v>28</v>
      </c>
      <c r="AK28" s="7">
        <v>65000</v>
      </c>
      <c r="AN28" s="7" t="s">
        <v>382</v>
      </c>
      <c r="AO28" s="7">
        <v>0</v>
      </c>
    </row>
    <row r="29" spans="1:42" ht="99.75" customHeight="1" x14ac:dyDescent="0.15">
      <c r="A29" s="7">
        <v>32</v>
      </c>
      <c r="B29" s="7" t="s">
        <v>383</v>
      </c>
      <c r="C29" s="7" t="s">
        <v>281</v>
      </c>
      <c r="D29" s="7" t="s">
        <v>178</v>
      </c>
      <c r="E29" s="7">
        <v>0</v>
      </c>
      <c r="F29" s="7">
        <v>-1</v>
      </c>
      <c r="G29" s="9" t="s">
        <v>265</v>
      </c>
      <c r="H29" s="9" t="s">
        <v>265</v>
      </c>
      <c r="I29" s="7"/>
      <c r="J29" s="7" t="s">
        <v>109</v>
      </c>
      <c r="K29" s="7" t="s">
        <v>181</v>
      </c>
      <c r="L29" s="7">
        <v>86400</v>
      </c>
      <c r="M29" s="7">
        <v>-1</v>
      </c>
      <c r="N29" s="7">
        <v>4</v>
      </c>
      <c r="O29" s="7">
        <v>-1</v>
      </c>
      <c r="T29" s="7">
        <v>-898733284</v>
      </c>
      <c r="W29" s="7" t="s">
        <v>163</v>
      </c>
      <c r="Z29" s="7" t="str">
        <f t="shared" si="2"/>
        <v/>
      </c>
      <c r="AA29" s="7" t="str">
        <f>SUBSTITUTE(Y29,");[",");1=[")</f>
        <v/>
      </c>
      <c r="AF29" s="7" t="str">
        <f t="shared" si="1"/>
        <v/>
      </c>
      <c r="AG29" s="7" t="s">
        <v>287</v>
      </c>
      <c r="AH29" s="7" t="s">
        <v>165</v>
      </c>
      <c r="AJ29" s="7">
        <v>29</v>
      </c>
      <c r="AN29" s="7" t="s">
        <v>384</v>
      </c>
      <c r="AO29" s="7">
        <v>0</v>
      </c>
    </row>
    <row r="30" spans="1:42" ht="99.75" customHeight="1" x14ac:dyDescent="0.15">
      <c r="A30" s="7">
        <v>33</v>
      </c>
      <c r="B30" s="7" t="s">
        <v>385</v>
      </c>
      <c r="C30" s="7" t="s">
        <v>281</v>
      </c>
      <c r="D30" s="7" t="s">
        <v>178</v>
      </c>
      <c r="E30" s="7">
        <v>0</v>
      </c>
      <c r="F30" s="7">
        <v>-1</v>
      </c>
      <c r="G30" s="9" t="s">
        <v>265</v>
      </c>
      <c r="H30" s="9" t="s">
        <v>265</v>
      </c>
      <c r="I30" s="7"/>
      <c r="J30" s="7" t="s">
        <v>109</v>
      </c>
      <c r="K30" s="7" t="s">
        <v>181</v>
      </c>
      <c r="L30" s="7">
        <v>86400</v>
      </c>
      <c r="M30" s="7">
        <v>-1</v>
      </c>
      <c r="N30" s="7">
        <v>4</v>
      </c>
      <c r="O30" s="7">
        <v>-1</v>
      </c>
      <c r="T30" s="7">
        <v>-898733284</v>
      </c>
      <c r="W30" s="7" t="s">
        <v>163</v>
      </c>
      <c r="Z30" s="7" t="str">
        <f t="shared" si="2"/>
        <v/>
      </c>
      <c r="AA30" s="7" t="str">
        <f>SUBSTITUTE(Y30,");[",");1=[")</f>
        <v/>
      </c>
      <c r="AF30" s="7" t="str">
        <f t="shared" si="1"/>
        <v/>
      </c>
      <c r="AG30" s="7" t="s">
        <v>287</v>
      </c>
      <c r="AH30" s="7" t="s">
        <v>165</v>
      </c>
      <c r="AJ30" s="7">
        <v>30</v>
      </c>
      <c r="AN30" s="7" t="s">
        <v>386</v>
      </c>
      <c r="AO30" s="7">
        <v>0</v>
      </c>
    </row>
    <row r="31" spans="1:42" ht="92.25" customHeight="1" x14ac:dyDescent="0.15">
      <c r="A31" s="7">
        <v>34</v>
      </c>
      <c r="B31" s="7" t="s">
        <v>387</v>
      </c>
      <c r="C31" s="7" t="s">
        <v>388</v>
      </c>
      <c r="D31" s="7" t="s">
        <v>158</v>
      </c>
      <c r="E31" s="7">
        <v>0</v>
      </c>
      <c r="F31" s="7">
        <v>-1</v>
      </c>
      <c r="G31" s="9" t="s">
        <v>368</v>
      </c>
      <c r="H31" s="9" t="s">
        <v>368</v>
      </c>
      <c r="J31" s="7" t="s">
        <v>109</v>
      </c>
      <c r="K31" s="9" t="s">
        <v>389</v>
      </c>
      <c r="L31" s="7">
        <v>1800</v>
      </c>
      <c r="M31" s="7">
        <v>-1</v>
      </c>
      <c r="N31" s="7">
        <v>1</v>
      </c>
      <c r="O31" s="7">
        <v>0</v>
      </c>
      <c r="T31" s="7">
        <v>909789906</v>
      </c>
      <c r="U31" s="7">
        <v>16</v>
      </c>
      <c r="W31" s="7" t="s">
        <v>163</v>
      </c>
      <c r="Y31" s="7" t="s">
        <v>390</v>
      </c>
      <c r="Z31" s="7" t="str">
        <f t="shared" si="2"/>
        <v>0=[活动物品奖励](4800003,1);0=[活动物品奖励](4801001,1);0=[活动物品奖励](4901110,1);</v>
      </c>
      <c r="AA31" s="7" t="s">
        <v>391</v>
      </c>
      <c r="AB31" s="7" t="s">
        <v>392</v>
      </c>
      <c r="AC31" s="7" t="s">
        <v>393</v>
      </c>
      <c r="AD31" s="7" t="s">
        <v>394</v>
      </c>
      <c r="AE31" s="7" t="s">
        <v>395</v>
      </c>
      <c r="AF31" s="7" t="str">
        <f t="shared" si="1"/>
        <v>0=[活动物品奖励](4800003,1);0=[活动物品奖励](4801001,1);0=[活动物品奖励](4901110,1);1=[活动物品奖励](4800003,1);1=[活动物品奖励](4801001,1);1=[活动物品奖励](4901110,1);2=[活动物品奖励](4800003,1);2=[活动物品奖励](4801001,1);2=[活动物品奖励](4902110,1);3=[活动物品奖励](4800003,1);3=[活动物品奖励](4801001,1);3=[活动物品奖励](4902110,1);4=[活动物品奖励](4800003,1);4=[活动物品奖励](4801001,1);4=[活动物品奖励](4903110,1);5=[活动物品奖励](4800003,1);5=[活动物品奖励](4801001,1);5=[活动物品奖励](4903110,1);</v>
      </c>
      <c r="AG31" s="7" t="s">
        <v>186</v>
      </c>
      <c r="AH31" s="7" t="s">
        <v>396</v>
      </c>
      <c r="AJ31" s="7">
        <v>31</v>
      </c>
      <c r="AM31" s="7" t="s">
        <v>397</v>
      </c>
      <c r="AN31" s="7" t="s">
        <v>398</v>
      </c>
      <c r="AO31" s="7">
        <v>0</v>
      </c>
    </row>
    <row r="32" spans="1:42" ht="92.25" customHeight="1" x14ac:dyDescent="0.15">
      <c r="A32" s="7">
        <v>35</v>
      </c>
      <c r="B32" s="7" t="s">
        <v>399</v>
      </c>
      <c r="C32" s="7" t="s">
        <v>400</v>
      </c>
      <c r="D32" s="7" t="s">
        <v>158</v>
      </c>
      <c r="E32" s="7">
        <v>0</v>
      </c>
      <c r="F32" s="7">
        <v>-1</v>
      </c>
      <c r="G32" s="9" t="s">
        <v>253</v>
      </c>
      <c r="H32" s="9" t="s">
        <v>253</v>
      </c>
      <c r="J32" s="7" t="s">
        <v>109</v>
      </c>
      <c r="K32" s="9" t="s">
        <v>401</v>
      </c>
      <c r="L32" s="7">
        <v>1800</v>
      </c>
      <c r="M32" s="7">
        <v>1</v>
      </c>
      <c r="N32" s="7">
        <v>1</v>
      </c>
      <c r="O32" s="7">
        <v>0</v>
      </c>
      <c r="P32" s="7" t="s">
        <v>233</v>
      </c>
      <c r="R32" s="7" t="s">
        <v>402</v>
      </c>
      <c r="T32" s="7">
        <v>1012044041</v>
      </c>
      <c r="U32" s="7">
        <v>5</v>
      </c>
      <c r="W32" s="7" t="s">
        <v>163</v>
      </c>
      <c r="Y32" s="7" t="s">
        <v>403</v>
      </c>
      <c r="Z32" s="7" t="str">
        <f t="shared" si="2"/>
        <v>0=[活动物品奖励](4800003,1);0=[活动物品奖励](4801001,1);0=[活动物品奖励](4801015,1);</v>
      </c>
      <c r="AA32" s="7" t="s">
        <v>404</v>
      </c>
      <c r="AB32" s="7" t="str">
        <f t="shared" ref="AB32:AE33" si="6">SUBSTITUTE($AA32,"1=",AB$4)</f>
        <v>2=[活动物品奖励](4800003,1);2=[活动物品奖励](4801001,1);2=[活动物品奖励](4801015,1);</v>
      </c>
      <c r="AC32" s="7" t="str">
        <f t="shared" si="6"/>
        <v>3=[活动物品奖励](4800003,1);3=[活动物品奖励](4801001,1);3=[活动物品奖励](4801015,1);</v>
      </c>
      <c r="AD32" s="7" t="str">
        <f t="shared" si="6"/>
        <v>4=[活动物品奖励](4800003,1);4=[活动物品奖励](4801001,1);4=[活动物品奖励](4801015,1);</v>
      </c>
      <c r="AE32" s="7" t="str">
        <f t="shared" si="6"/>
        <v>5=[活动物品奖励](4800003,1);5=[活动物品奖励](4801001,1);5=[活动物品奖励](4801015,1);</v>
      </c>
      <c r="AF32" s="7" t="str">
        <f t="shared" si="1"/>
        <v>0=[活动物品奖励](4800003,1);0=[活动物品奖励](4801001,1);0=[活动物品奖励](4801015,1);1=[活动物品奖励](4800003,1);1=[活动物品奖励](4801001,1);1=[活动物品奖励](4801015,1);2=[活动物品奖励](4800003,1);2=[活动物品奖励](4801001,1);2=[活动物品奖励](4801015,1);3=[活动物品奖励](4800003,1);3=[活动物品奖励](4801001,1);3=[活动物品奖励](4801015,1);4=[活动物品奖励](4800003,1);4=[活动物品奖励](4801001,1);4=[活动物品奖励](4801015,1);5=[活动物品奖励](4800003,1);5=[活动物品奖励](4801001,1);5=[活动物品奖励](4801015,1);</v>
      </c>
      <c r="AG32" s="7" t="s">
        <v>238</v>
      </c>
      <c r="AH32" s="7" t="s">
        <v>405</v>
      </c>
      <c r="AJ32" s="7">
        <v>32</v>
      </c>
      <c r="AM32" s="7" t="s">
        <v>406</v>
      </c>
      <c r="AN32" s="7" t="s">
        <v>407</v>
      </c>
      <c r="AO32" s="7">
        <v>0</v>
      </c>
    </row>
    <row r="33" spans="1:42" ht="57" x14ac:dyDescent="0.15">
      <c r="A33" s="7">
        <v>36</v>
      </c>
      <c r="B33" s="7" t="s">
        <v>408</v>
      </c>
      <c r="C33" s="7" t="s">
        <v>409</v>
      </c>
      <c r="D33" s="7" t="s">
        <v>158</v>
      </c>
      <c r="E33" s="7">
        <v>1</v>
      </c>
      <c r="F33" s="7">
        <v>-1</v>
      </c>
      <c r="G33" s="9" t="s">
        <v>332</v>
      </c>
      <c r="H33" s="9" t="s">
        <v>332</v>
      </c>
      <c r="J33" s="7" t="s">
        <v>109</v>
      </c>
      <c r="K33" s="9" t="s">
        <v>410</v>
      </c>
      <c r="L33" s="7">
        <v>1800</v>
      </c>
      <c r="M33" s="7">
        <v>1</v>
      </c>
      <c r="N33" s="7">
        <v>4</v>
      </c>
      <c r="O33" s="7">
        <v>-1</v>
      </c>
      <c r="R33" s="7" t="s">
        <v>411</v>
      </c>
      <c r="T33" s="7">
        <v>42919020</v>
      </c>
      <c r="W33" s="7" t="s">
        <v>163</v>
      </c>
      <c r="Y33" s="7" t="s">
        <v>412</v>
      </c>
      <c r="Z33" s="7" t="str">
        <f t="shared" si="2"/>
        <v>0=[活动物品奖励](4801016,1);</v>
      </c>
      <c r="AA33" s="7" t="s">
        <v>413</v>
      </c>
      <c r="AB33" s="7" t="str">
        <f t="shared" si="6"/>
        <v>2=[活动物品奖励](4801016,1);</v>
      </c>
      <c r="AC33" s="7" t="str">
        <f t="shared" si="6"/>
        <v>3=[活动物品奖励](4801016,1);</v>
      </c>
      <c r="AD33" s="7" t="str">
        <f t="shared" si="6"/>
        <v>4=[活动物品奖励](4801016,1);</v>
      </c>
      <c r="AE33" s="7" t="str">
        <f t="shared" si="6"/>
        <v>5=[活动物品奖励](4801016,1);</v>
      </c>
      <c r="AF33" s="7" t="str">
        <f t="shared" si="1"/>
        <v>0=[活动物品奖励](4801016,1);1=[活动物品奖励](4801016,1);2=[活动物品奖励](4801016,1);3=[活动物品奖励](4801016,1);4=[活动物品奖励](4801016,1);5=[活动物品奖励](4801016,1);</v>
      </c>
      <c r="AG33" s="7" t="s">
        <v>346</v>
      </c>
      <c r="AH33" s="7" t="s">
        <v>414</v>
      </c>
      <c r="AI33" s="7" t="s">
        <v>347</v>
      </c>
      <c r="AJ33" s="7">
        <v>33</v>
      </c>
      <c r="AM33" s="7" t="s">
        <v>415</v>
      </c>
      <c r="AN33" s="7" t="s">
        <v>416</v>
      </c>
      <c r="AO33" s="7">
        <v>0</v>
      </c>
      <c r="AP33" s="7" t="s">
        <v>417</v>
      </c>
    </row>
    <row r="34" spans="1:42" ht="256.5" customHeight="1" x14ac:dyDescent="0.15">
      <c r="A34" s="7">
        <v>37</v>
      </c>
      <c r="B34" s="7" t="s">
        <v>418</v>
      </c>
      <c r="C34" s="7" t="s">
        <v>198</v>
      </c>
      <c r="D34" s="7" t="s">
        <v>199</v>
      </c>
      <c r="E34" s="7" t="s">
        <v>179</v>
      </c>
      <c r="F34" s="7">
        <v>-1</v>
      </c>
      <c r="G34" s="9" t="s">
        <v>200</v>
      </c>
      <c r="H34" s="9" t="s">
        <v>332</v>
      </c>
      <c r="I34" s="7"/>
      <c r="J34" s="7" t="s">
        <v>109</v>
      </c>
      <c r="K34" s="7" t="s">
        <v>181</v>
      </c>
      <c r="L34" s="7">
        <v>86400</v>
      </c>
      <c r="M34" s="7">
        <v>3</v>
      </c>
      <c r="N34" s="7">
        <v>4</v>
      </c>
      <c r="O34" s="7">
        <v>-1</v>
      </c>
      <c r="T34" s="7">
        <v>-189653383</v>
      </c>
      <c r="U34" s="7">
        <v>17</v>
      </c>
      <c r="W34" s="7" t="s">
        <v>163</v>
      </c>
      <c r="Y34" s="7" t="s">
        <v>201</v>
      </c>
      <c r="Z34" s="7" t="s">
        <v>419</v>
      </c>
      <c r="AA34" s="7" t="s">
        <v>420</v>
      </c>
      <c r="AB34" s="7" t="s">
        <v>421</v>
      </c>
      <c r="AC34" s="7" t="s">
        <v>422</v>
      </c>
      <c r="AD34" s="7" t="s">
        <v>423</v>
      </c>
      <c r="AE34" s="7" t="s">
        <v>424</v>
      </c>
      <c r="AF34" s="7" t="str">
        <f t="shared" si="1"/>
        <v>0=[活动物品奖励](4801010,1);0=[活动物品奖励](1102061,1);0=[活动物品奖励](1102062,1);0=[活动物品奖励](1102064,1);1=[活动物品奖励](4801010,1);1=[活动物品奖励](1102061,1);1=[活动物品奖励](1102062,1);1=[活动物品奖励](1102064,1);2=[活动物品奖励](4801010,1);2=[活动物品奖励](1202061,1);2=[活动物品奖励](1202062,1);2=[活动物品奖励](1202064,1);3=[活动物品奖励](4801010,1);3=[活动物品奖励](1202061,1);3=[活动物品奖励](1202062,1);3=[活动物品奖励](1202064,1);4=[活动物品奖励](4801010,1);4=[活动物品奖励](1302061,1);4=[活动物品奖励](1302062,1);4=[活动物品奖励](1302064,1);5=[活动物品奖励](4801010,1);5=[活动物品奖励](1302061,1);5=[活动物品奖励](1302062,1);5=[活动物品奖励](1302064,1);</v>
      </c>
      <c r="AG34" s="7" t="s">
        <v>208</v>
      </c>
      <c r="AH34" s="7" t="s">
        <v>165</v>
      </c>
      <c r="AJ34" s="7">
        <v>34</v>
      </c>
      <c r="AK34" s="7">
        <v>10160</v>
      </c>
      <c r="AL34" s="7">
        <v>1708</v>
      </c>
      <c r="AM34" s="7" t="s">
        <v>425</v>
      </c>
      <c r="AN34" s="7" t="s">
        <v>210</v>
      </c>
      <c r="AO34" s="7">
        <v>0</v>
      </c>
    </row>
    <row r="35" spans="1:42" ht="256.5" customHeight="1" x14ac:dyDescent="0.15">
      <c r="A35" s="7">
        <v>38</v>
      </c>
      <c r="B35" s="7" t="s">
        <v>426</v>
      </c>
      <c r="C35" s="7" t="s">
        <v>198</v>
      </c>
      <c r="D35" s="7" t="s">
        <v>199</v>
      </c>
      <c r="E35" s="7" t="s">
        <v>179</v>
      </c>
      <c r="F35" s="7">
        <v>-1</v>
      </c>
      <c r="G35" s="9" t="s">
        <v>332</v>
      </c>
      <c r="H35" s="9" t="s">
        <v>427</v>
      </c>
      <c r="I35" s="7"/>
      <c r="J35" s="7" t="s">
        <v>109</v>
      </c>
      <c r="K35" s="7" t="s">
        <v>181</v>
      </c>
      <c r="L35" s="7">
        <v>86400</v>
      </c>
      <c r="M35" s="7">
        <v>3</v>
      </c>
      <c r="N35" s="7">
        <v>4</v>
      </c>
      <c r="O35" s="7">
        <v>-1</v>
      </c>
      <c r="T35" s="7">
        <v>-189653383</v>
      </c>
      <c r="U35" s="7">
        <v>18</v>
      </c>
      <c r="W35" s="7" t="s">
        <v>163</v>
      </c>
      <c r="Y35" s="7" t="s">
        <v>201</v>
      </c>
      <c r="Z35" s="7" t="s">
        <v>428</v>
      </c>
      <c r="AA35" s="7" t="s">
        <v>429</v>
      </c>
      <c r="AB35" s="7" t="s">
        <v>430</v>
      </c>
      <c r="AC35" s="7" t="s">
        <v>431</v>
      </c>
      <c r="AD35" s="7" t="s">
        <v>432</v>
      </c>
      <c r="AE35" s="7" t="s">
        <v>433</v>
      </c>
      <c r="AF35" s="7" t="str">
        <f t="shared" si="1"/>
        <v>0=[活动物品奖励](4801010,1);0=[活动物品奖励](1103061,1);0=[活动物品奖励](1103062,1);0=[活动物品奖励](1103064,1);1=[活动物品奖励](4801010,1);1=[活动物品奖励](1103061,1);1=[活动物品奖励](1103062,1);1=[活动物品奖励](1103064,1);2=[活动物品奖励](4801010,1);2=[活动物品奖励](1203061,1);2=[活动物品奖励](1203062,1);2=[活动物品奖励](1203064,1);3=[活动物品奖励](4801010,1);3=[活动物品奖励](1203061,1);3=[活动物品奖励](1203062,1);3=[活动物品奖励](1203064,1);4=[活动物品奖励](4801010,1);4=[活动物品奖励](1303061,1);4=[活动物品奖励](1303062,1);4=[活动物品奖励](1303064,1);5=[活动物品奖励](4801010,1);5=[活动物品奖励](1303061,1);5=[活动物品奖励](1303062,1);5=[活动物品奖励](1303064,1);</v>
      </c>
      <c r="AG35" s="7" t="s">
        <v>208</v>
      </c>
      <c r="AH35" s="7" t="s">
        <v>165</v>
      </c>
      <c r="AJ35" s="7">
        <v>35</v>
      </c>
      <c r="AK35" s="7">
        <v>10160</v>
      </c>
      <c r="AL35" s="7">
        <v>1708</v>
      </c>
      <c r="AM35" s="7" t="s">
        <v>434</v>
      </c>
      <c r="AN35" s="7" t="s">
        <v>210</v>
      </c>
      <c r="AO35" s="7">
        <v>0</v>
      </c>
    </row>
    <row r="36" spans="1:42" ht="256.5" customHeight="1" x14ac:dyDescent="0.15">
      <c r="A36" s="7">
        <v>39</v>
      </c>
      <c r="B36" s="7" t="s">
        <v>435</v>
      </c>
      <c r="C36" s="7" t="s">
        <v>198</v>
      </c>
      <c r="D36" s="7" t="s">
        <v>199</v>
      </c>
      <c r="E36" s="7" t="s">
        <v>179</v>
      </c>
      <c r="F36" s="7">
        <v>-1</v>
      </c>
      <c r="G36" s="9" t="s">
        <v>427</v>
      </c>
      <c r="H36" s="9" t="s">
        <v>436</v>
      </c>
      <c r="I36" s="7"/>
      <c r="J36" s="7" t="s">
        <v>109</v>
      </c>
      <c r="K36" s="7" t="s">
        <v>181</v>
      </c>
      <c r="L36" s="7">
        <v>86400</v>
      </c>
      <c r="M36" s="7">
        <v>3</v>
      </c>
      <c r="N36" s="7">
        <v>4</v>
      </c>
      <c r="O36" s="7">
        <v>-1</v>
      </c>
      <c r="T36" s="7">
        <v>-189653383</v>
      </c>
      <c r="U36" s="7">
        <v>19</v>
      </c>
      <c r="W36" s="7" t="s">
        <v>163</v>
      </c>
      <c r="Y36" s="7" t="s">
        <v>201</v>
      </c>
      <c r="Z36" s="7" t="s">
        <v>437</v>
      </c>
      <c r="AA36" s="7" t="s">
        <v>438</v>
      </c>
      <c r="AB36" s="7" t="s">
        <v>439</v>
      </c>
      <c r="AC36" s="7" t="s">
        <v>440</v>
      </c>
      <c r="AD36" s="7" t="s">
        <v>441</v>
      </c>
      <c r="AE36" s="7" t="s">
        <v>442</v>
      </c>
      <c r="AF36" s="7" t="str">
        <f t="shared" si="1"/>
        <v>0=[活动物品奖励](4801010,1);0=[活动物品奖励](1104061,1);0=[活动物品奖励](1104062,1);0=[活动物品奖励](1104064,1);1=[活动物品奖励](4801010,1);1=[活动物品奖励](1104061,1);1=[活动物品奖励](1104062,1);1=[活动物品奖励](1104064,1);2=[活动物品奖励](4801010,1);2=[活动物品奖励](1204061,1);2=[活动物品奖励](1204062,1);2=[活动物品奖励](1204064,1);3=[活动物品奖励](4801010,1);3=[活动物品奖励](1204061,1);3=[活动物品奖励](1204062,1);3=[活动物品奖励](1204064,1);4=[活动物品奖励](4801010,1);4=[活动物品奖励](1304061,1);4=[活动物品奖励](1304062,1);4=[活动物品奖励](1304064,1);5=[活动物品奖励](4801010,1);5=[活动物品奖励](1304061,1);5=[活动物品奖励](1304062,1);5=[活动物品奖励](1304064,1);</v>
      </c>
      <c r="AG36" s="7" t="s">
        <v>208</v>
      </c>
      <c r="AH36" s="7" t="s">
        <v>165</v>
      </c>
      <c r="AJ36" s="7">
        <v>36</v>
      </c>
      <c r="AK36" s="7">
        <v>10160</v>
      </c>
      <c r="AL36" s="7">
        <v>1708</v>
      </c>
      <c r="AM36" s="7" t="s">
        <v>443</v>
      </c>
      <c r="AN36" s="7" t="s">
        <v>210</v>
      </c>
      <c r="AO36" s="7">
        <v>0</v>
      </c>
    </row>
    <row r="37" spans="1:42" ht="256.5" customHeight="1" x14ac:dyDescent="0.15">
      <c r="A37" s="7">
        <v>40</v>
      </c>
      <c r="B37" s="7" t="s">
        <v>444</v>
      </c>
      <c r="C37" s="7" t="s">
        <v>198</v>
      </c>
      <c r="D37" s="7" t="s">
        <v>199</v>
      </c>
      <c r="E37" s="7" t="s">
        <v>179</v>
      </c>
      <c r="F37" s="7">
        <v>-1</v>
      </c>
      <c r="G37" s="9" t="s">
        <v>436</v>
      </c>
      <c r="H37" s="9" t="s">
        <v>445</v>
      </c>
      <c r="I37" s="7"/>
      <c r="J37" s="7" t="s">
        <v>109</v>
      </c>
      <c r="K37" s="7" t="s">
        <v>181</v>
      </c>
      <c r="L37" s="7">
        <v>86400</v>
      </c>
      <c r="M37" s="7">
        <v>3</v>
      </c>
      <c r="N37" s="7">
        <v>4</v>
      </c>
      <c r="O37" s="7">
        <v>-1</v>
      </c>
      <c r="T37" s="7">
        <v>-189653383</v>
      </c>
      <c r="U37" s="7">
        <v>20</v>
      </c>
      <c r="W37" s="7" t="s">
        <v>163</v>
      </c>
      <c r="Y37" s="7" t="s">
        <v>201</v>
      </c>
      <c r="Z37" s="7" t="s">
        <v>446</v>
      </c>
      <c r="AA37" s="7" t="s">
        <v>447</v>
      </c>
      <c r="AB37" s="7" t="s">
        <v>448</v>
      </c>
      <c r="AC37" s="7" t="s">
        <v>449</v>
      </c>
      <c r="AD37" s="7" t="s">
        <v>450</v>
      </c>
      <c r="AE37" s="7" t="s">
        <v>451</v>
      </c>
      <c r="AF37" s="7" t="str">
        <f t="shared" si="1"/>
        <v>0=[活动物品奖励](4801010,1);0=[活动物品奖励](1105061,1);0=[活动物品奖励](1105062,1);0=[活动物品奖励](1105064,1);1=[活动物品奖励](4801010,1);1=[活动物品奖励](1105061,1);1=[活动物品奖励](1105062,1);1=[活动物品奖励](1105064,1);2=[活动物品奖励](4801010,1);2=[活动物品奖励](1205061,1);2=[活动物品奖励](1205062,1);2=[活动物品奖励](1205064,1);3=[活动物品奖励](4801010,1);3=[活动物品奖励](1205061,1);3=[活动物品奖励](1205062,1);3=[活动物品奖励](1205064,1);4=[活动物品奖励](4801010,1);4=[活动物品奖励](1305061,1);4=[活动物品奖励](1305062,1);4=[活动物品奖励](1305064,1);5=[活动物品奖励](4801010,1);5=[活动物品奖励](1305061,1);5=[活动物品奖励](1305062,1);5=[活动物品奖励](1305064,1);</v>
      </c>
      <c r="AG37" s="7" t="s">
        <v>208</v>
      </c>
      <c r="AH37" s="7" t="s">
        <v>165</v>
      </c>
      <c r="AJ37" s="7">
        <v>37</v>
      </c>
      <c r="AK37" s="7">
        <v>10160</v>
      </c>
      <c r="AL37" s="7">
        <v>1708</v>
      </c>
      <c r="AM37" s="7" t="s">
        <v>452</v>
      </c>
      <c r="AN37" s="7" t="s">
        <v>210</v>
      </c>
      <c r="AO37" s="7">
        <v>0</v>
      </c>
    </row>
    <row r="38" spans="1:42" ht="13.5" customHeight="1" x14ac:dyDescent="0.15">
      <c r="A38" s="7">
        <v>51</v>
      </c>
      <c r="B38" s="7" t="s">
        <v>453</v>
      </c>
      <c r="D38" s="7" t="s">
        <v>158</v>
      </c>
      <c r="E38" s="7">
        <v>0</v>
      </c>
      <c r="F38" s="7">
        <v>-1</v>
      </c>
      <c r="G38" s="9" t="s">
        <v>265</v>
      </c>
      <c r="H38" s="9" t="s">
        <v>454</v>
      </c>
      <c r="I38" s="7"/>
      <c r="J38" s="7" t="s">
        <v>455</v>
      </c>
      <c r="K38" s="7" t="s">
        <v>106</v>
      </c>
      <c r="L38" s="7">
        <f>1*86400</f>
        <v>86400</v>
      </c>
      <c r="M38" s="7">
        <v>1</v>
      </c>
      <c r="N38" s="7">
        <v>1</v>
      </c>
      <c r="O38" s="7">
        <v>-1</v>
      </c>
      <c r="S38" s="7" t="s">
        <v>456</v>
      </c>
      <c r="T38" s="7">
        <v>-189653383</v>
      </c>
      <c r="U38" s="7">
        <v>20</v>
      </c>
      <c r="W38" s="7" t="s">
        <v>163</v>
      </c>
      <c r="AG38" s="7" t="s">
        <v>208</v>
      </c>
      <c r="AH38" s="7" t="s">
        <v>165</v>
      </c>
      <c r="AJ38" s="7">
        <v>37</v>
      </c>
      <c r="AK38" s="7">
        <v>10160</v>
      </c>
      <c r="AL38" s="7">
        <v>1708</v>
      </c>
      <c r="AO38" s="7">
        <v>0</v>
      </c>
    </row>
    <row r="39" spans="1:42" ht="13.5" customHeight="1" x14ac:dyDescent="0.15">
      <c r="A39" s="7">
        <v>52</v>
      </c>
      <c r="B39" s="7" t="s">
        <v>457</v>
      </c>
      <c r="D39" s="7" t="s">
        <v>158</v>
      </c>
      <c r="E39" s="7">
        <v>0</v>
      </c>
      <c r="F39" s="7">
        <v>-1</v>
      </c>
      <c r="G39" s="9" t="s">
        <v>265</v>
      </c>
      <c r="H39" s="9" t="s">
        <v>454</v>
      </c>
      <c r="I39" s="7"/>
      <c r="J39" s="7" t="s">
        <v>455</v>
      </c>
      <c r="K39" s="7" t="s">
        <v>106</v>
      </c>
      <c r="L39" s="7">
        <f>2*86400</f>
        <v>172800</v>
      </c>
      <c r="M39" s="7">
        <v>1</v>
      </c>
      <c r="N39" s="7">
        <v>1</v>
      </c>
      <c r="O39" s="7">
        <v>-1</v>
      </c>
      <c r="S39" s="7" t="s">
        <v>456</v>
      </c>
      <c r="T39" s="7">
        <v>-189653383</v>
      </c>
      <c r="U39" s="7">
        <v>20</v>
      </c>
      <c r="W39" s="7" t="s">
        <v>163</v>
      </c>
      <c r="AG39" s="7" t="s">
        <v>208</v>
      </c>
      <c r="AH39" s="7" t="s">
        <v>165</v>
      </c>
      <c r="AJ39" s="7">
        <v>37</v>
      </c>
      <c r="AK39" s="7">
        <v>10160</v>
      </c>
      <c r="AL39" s="7">
        <v>1708</v>
      </c>
      <c r="AO39" s="7">
        <v>0</v>
      </c>
    </row>
    <row r="40" spans="1:42" ht="13.5" customHeight="1" x14ac:dyDescent="0.15">
      <c r="A40" s="7">
        <v>53</v>
      </c>
      <c r="B40" s="7" t="s">
        <v>458</v>
      </c>
      <c r="D40" s="7" t="s">
        <v>158</v>
      </c>
      <c r="E40" s="7">
        <v>0</v>
      </c>
      <c r="F40" s="7">
        <v>-1</v>
      </c>
      <c r="G40" s="9" t="s">
        <v>265</v>
      </c>
      <c r="H40" s="9" t="s">
        <v>454</v>
      </c>
      <c r="I40" s="7"/>
      <c r="J40" s="7" t="s">
        <v>455</v>
      </c>
      <c r="K40" s="7" t="s">
        <v>106</v>
      </c>
      <c r="L40" s="7">
        <f>3*86400</f>
        <v>259200</v>
      </c>
      <c r="M40" s="7">
        <v>1</v>
      </c>
      <c r="N40" s="7">
        <v>1</v>
      </c>
      <c r="O40" s="7">
        <v>-1</v>
      </c>
      <c r="S40" s="7" t="s">
        <v>456</v>
      </c>
      <c r="T40" s="7">
        <v>-189653383</v>
      </c>
      <c r="U40" s="7">
        <v>20</v>
      </c>
      <c r="W40" s="7" t="s">
        <v>163</v>
      </c>
      <c r="AG40" s="7" t="s">
        <v>208</v>
      </c>
      <c r="AH40" s="7" t="s">
        <v>165</v>
      </c>
      <c r="AJ40" s="7">
        <v>37</v>
      </c>
      <c r="AK40" s="7">
        <v>10160</v>
      </c>
      <c r="AL40" s="7">
        <v>1708</v>
      </c>
      <c r="AO40" s="7">
        <v>0</v>
      </c>
    </row>
    <row r="41" spans="1:42" ht="13.5" customHeight="1" x14ac:dyDescent="0.15">
      <c r="A41" s="7">
        <v>54</v>
      </c>
      <c r="B41" s="7" t="s">
        <v>459</v>
      </c>
      <c r="D41" s="7" t="s">
        <v>158</v>
      </c>
      <c r="E41" s="7">
        <v>0</v>
      </c>
      <c r="F41" s="7">
        <v>-1</v>
      </c>
      <c r="G41" s="9" t="s">
        <v>265</v>
      </c>
      <c r="H41" s="9" t="s">
        <v>454</v>
      </c>
      <c r="I41" s="7"/>
      <c r="J41" s="7" t="s">
        <v>455</v>
      </c>
      <c r="K41" s="7" t="s">
        <v>106</v>
      </c>
      <c r="L41" s="7">
        <f>4*86400</f>
        <v>345600</v>
      </c>
      <c r="M41" s="7">
        <v>1</v>
      </c>
      <c r="N41" s="7">
        <v>1</v>
      </c>
      <c r="O41" s="7">
        <v>-1</v>
      </c>
      <c r="S41" s="7" t="s">
        <v>456</v>
      </c>
      <c r="T41" s="7">
        <v>-189653383</v>
      </c>
      <c r="U41" s="7">
        <v>20</v>
      </c>
      <c r="W41" s="7" t="s">
        <v>163</v>
      </c>
      <c r="AG41" s="7" t="s">
        <v>208</v>
      </c>
      <c r="AH41" s="7" t="s">
        <v>165</v>
      </c>
      <c r="AJ41" s="7">
        <v>37</v>
      </c>
      <c r="AK41" s="7">
        <v>10160</v>
      </c>
      <c r="AL41" s="7">
        <v>1708</v>
      </c>
      <c r="AO41" s="7">
        <v>0</v>
      </c>
    </row>
    <row r="42" spans="1:42" ht="13.5" customHeight="1" x14ac:dyDescent="0.15">
      <c r="A42" s="7">
        <v>55</v>
      </c>
      <c r="B42" s="7" t="s">
        <v>460</v>
      </c>
      <c r="D42" s="7" t="s">
        <v>158</v>
      </c>
      <c r="E42" s="7">
        <v>0</v>
      </c>
      <c r="F42" s="7">
        <v>-1</v>
      </c>
      <c r="G42" s="9" t="s">
        <v>265</v>
      </c>
      <c r="H42" s="9" t="s">
        <v>454</v>
      </c>
      <c r="I42" s="7"/>
      <c r="J42" s="7" t="s">
        <v>455</v>
      </c>
      <c r="K42" s="7" t="s">
        <v>106</v>
      </c>
      <c r="L42" s="7">
        <f>5*86400</f>
        <v>432000</v>
      </c>
      <c r="M42" s="7">
        <v>1</v>
      </c>
      <c r="N42" s="7">
        <v>1</v>
      </c>
      <c r="O42" s="7">
        <v>-1</v>
      </c>
      <c r="S42" s="7" t="s">
        <v>456</v>
      </c>
      <c r="T42" s="7">
        <v>-189653383</v>
      </c>
      <c r="U42" s="7">
        <v>20</v>
      </c>
      <c r="W42" s="7" t="s">
        <v>163</v>
      </c>
      <c r="AG42" s="7" t="s">
        <v>208</v>
      </c>
      <c r="AH42" s="7" t="s">
        <v>165</v>
      </c>
      <c r="AJ42" s="7">
        <v>37</v>
      </c>
      <c r="AK42" s="7">
        <v>10160</v>
      </c>
      <c r="AL42" s="7">
        <v>1708</v>
      </c>
      <c r="AO42" s="7">
        <v>0</v>
      </c>
    </row>
    <row r="43" spans="1:42" ht="13.5" customHeight="1" x14ac:dyDescent="0.15">
      <c r="A43" s="7">
        <v>56</v>
      </c>
      <c r="B43" s="7" t="s">
        <v>461</v>
      </c>
      <c r="D43" s="7" t="s">
        <v>158</v>
      </c>
      <c r="E43" s="7">
        <v>0</v>
      </c>
      <c r="F43" s="7">
        <v>-1</v>
      </c>
      <c r="G43" s="9" t="s">
        <v>265</v>
      </c>
      <c r="H43" s="9" t="s">
        <v>454</v>
      </c>
      <c r="I43" s="7"/>
      <c r="J43" s="7" t="s">
        <v>455</v>
      </c>
      <c r="K43" s="7" t="s">
        <v>106</v>
      </c>
      <c r="L43" s="7">
        <f>6*86400</f>
        <v>518400</v>
      </c>
      <c r="M43" s="7">
        <v>1</v>
      </c>
      <c r="N43" s="7">
        <v>1</v>
      </c>
      <c r="O43" s="7">
        <v>-1</v>
      </c>
      <c r="S43" s="7" t="s">
        <v>456</v>
      </c>
      <c r="T43" s="7">
        <v>-189653383</v>
      </c>
      <c r="U43" s="7">
        <v>20</v>
      </c>
      <c r="W43" s="7" t="s">
        <v>163</v>
      </c>
      <c r="AG43" s="7" t="s">
        <v>208</v>
      </c>
      <c r="AH43" s="7" t="s">
        <v>165</v>
      </c>
      <c r="AJ43" s="7">
        <v>37</v>
      </c>
      <c r="AK43" s="7">
        <v>10160</v>
      </c>
      <c r="AL43" s="7">
        <v>1708</v>
      </c>
      <c r="AO43" s="7">
        <v>0</v>
      </c>
    </row>
    <row r="44" spans="1:42" ht="13.5" customHeight="1" x14ac:dyDescent="0.15">
      <c r="A44" s="7">
        <v>57</v>
      </c>
      <c r="B44" s="7" t="s">
        <v>462</v>
      </c>
      <c r="D44" s="7" t="s">
        <v>158</v>
      </c>
      <c r="E44" s="7">
        <v>0</v>
      </c>
      <c r="F44" s="7">
        <v>-1</v>
      </c>
      <c r="G44" s="9" t="s">
        <v>265</v>
      </c>
      <c r="H44" s="9" t="s">
        <v>454</v>
      </c>
      <c r="I44" s="7"/>
      <c r="J44" s="7" t="s">
        <v>455</v>
      </c>
      <c r="K44" s="7" t="s">
        <v>106</v>
      </c>
      <c r="L44" s="7">
        <f>7*86400</f>
        <v>604800</v>
      </c>
      <c r="M44" s="7">
        <v>1</v>
      </c>
      <c r="N44" s="7">
        <v>1</v>
      </c>
      <c r="O44" s="7">
        <v>-1</v>
      </c>
      <c r="S44" s="7" t="s">
        <v>456</v>
      </c>
      <c r="T44" s="7">
        <v>-189653383</v>
      </c>
      <c r="U44" s="7">
        <v>20</v>
      </c>
      <c r="W44" s="7" t="s">
        <v>163</v>
      </c>
      <c r="AG44" s="7" t="s">
        <v>208</v>
      </c>
      <c r="AH44" s="7" t="s">
        <v>165</v>
      </c>
      <c r="AJ44" s="7">
        <v>37</v>
      </c>
      <c r="AK44" s="7">
        <v>10160</v>
      </c>
      <c r="AL44" s="7">
        <v>1708</v>
      </c>
      <c r="AO44" s="7">
        <v>0</v>
      </c>
    </row>
    <row r="45" spans="1:42" ht="127.5" customHeight="1" x14ac:dyDescent="0.15">
      <c r="A45" s="7">
        <v>59</v>
      </c>
      <c r="B45" s="11"/>
      <c r="C45" s="7" t="s">
        <v>463</v>
      </c>
      <c r="D45" s="7" t="s">
        <v>464</v>
      </c>
      <c r="E45" s="7" t="s">
        <v>178</v>
      </c>
      <c r="F45" s="7">
        <v>1</v>
      </c>
      <c r="G45" s="7">
        <v>-1</v>
      </c>
      <c r="H45" s="9" t="s">
        <v>265</v>
      </c>
      <c r="I45" s="9" t="s">
        <v>265</v>
      </c>
      <c r="J45" s="12"/>
      <c r="K45" s="7" t="s">
        <v>109</v>
      </c>
      <c r="L45" s="7" t="s">
        <v>181</v>
      </c>
      <c r="M45" s="7">
        <v>86400</v>
      </c>
      <c r="N45" s="7">
        <v>-1</v>
      </c>
      <c r="O45" s="7">
        <v>4</v>
      </c>
      <c r="P45" s="7">
        <v>-1</v>
      </c>
      <c r="S45" s="7" t="s">
        <v>465</v>
      </c>
      <c r="U45" s="7">
        <v>1184023145</v>
      </c>
      <c r="V45" s="7">
        <v>23</v>
      </c>
      <c r="X45" s="7" t="s">
        <v>163</v>
      </c>
      <c r="Y45" s="7" t="s">
        <v>466</v>
      </c>
      <c r="Z45" s="7" t="str">
        <f>SUBSTITUTE($Y45,"1=",Z$4)</f>
        <v>0=[活动物品奖励](4801016,1);0=[活动物品奖励](4105021,1);0=[活动物品奖励](4105020,1);0=[活动物品奖励](4801002,1);</v>
      </c>
      <c r="AA45" s="7" t="str">
        <f>SUBSTITUTE($Y45,"0=",AA$4)</f>
        <v>1=[活动物品奖励](4801016,1);1=[活动物品奖励](4105021,1);1=[活动物品奖励](4105020,1);1=[活动物品奖励](4801002,1);</v>
      </c>
      <c r="AB45" s="7" t="str">
        <f>SUBSTITUTE($Y45,"0=",AB$4)</f>
        <v>2=[活动物品奖励](4801016,1);2=[活动物品奖励](4105021,1);2=[活动物品奖励](4105020,1);2=[活动物品奖励](4801002,1);</v>
      </c>
      <c r="AC45" s="7" t="str">
        <f>SUBSTITUTE($Y45,"0=",AC$4)</f>
        <v>3=[活动物品奖励](4801016,1);3=[活动物品奖励](4105021,1);3=[活动物品奖励](4105020,1);3=[活动物品奖励](4801002,1);</v>
      </c>
      <c r="AD45" s="7" t="str">
        <f>SUBSTITUTE($Y45,"0=",AD$4)</f>
        <v>4=[活动物品奖励](4801016,1);4=[活动物品奖励](4105021,1);4=[活动物品奖励](4105020,1);4=[活动物品奖励](4801002,1);</v>
      </c>
      <c r="AE45" s="7" t="str">
        <f>SUBSTITUTE($Y45,"0=",AE$4)</f>
        <v>5=[活动物品奖励](4801016,1);5=[活动物品奖励](4105021,1);5=[活动物品奖励](4105020,1);5=[活动物品奖励](4801002,1);</v>
      </c>
      <c r="AF45" s="7" t="str">
        <f>CONCATENATE(Z45,AA45,AB45,AC45,AD45,AE45)</f>
        <v>0=[活动物品奖励](4801016,1);0=[活动物品奖励](4105021,1);0=[活动物品奖励](4105020,1);0=[活动物品奖励](4801002,1);1=[活动物品奖励](4801016,1);1=[活动物品奖励](4105021,1);1=[活动物品奖励](4105020,1);1=[活动物品奖励](4801002,1);2=[活动物品奖励](4801016,1);2=[活动物品奖励](4105021,1);2=[活动物品奖励](4105020,1);2=[活动物品奖励](4801002,1);3=[活动物品奖励](4801016,1);3=[活动物品奖励](4105021,1);3=[活动物品奖励](4105020,1);3=[活动物品奖励](4801002,1);4=[活动物品奖励](4801016,1);4=[活动物品奖励](4105021,1);4=[活动物品奖励](4105020,1);4=[活动物品奖励](4801002,1);5=[活动物品奖励](4801016,1);5=[活动物品奖励](4105021,1);5=[活动物品奖励](4105020,1);5=[活动物品奖励](4801002,1);</v>
      </c>
      <c r="AH45" s="7" t="s">
        <v>250</v>
      </c>
      <c r="AI45" s="7">
        <v>0</v>
      </c>
      <c r="AK45" s="4">
        <v>40240</v>
      </c>
      <c r="AL45" s="7" t="s">
        <v>164</v>
      </c>
    </row>
  </sheetData>
  <autoFilter ref="A1:AK45"/>
  <phoneticPr fontId="4" type="noConversion"/>
  <pageMargins left="0.69930555555555596" right="0.69930555555555596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workbookViewId="0">
      <selection activeCell="M31" sqref="M31"/>
    </sheetView>
  </sheetViews>
  <sheetFormatPr defaultColWidth="9" defaultRowHeight="13.5" x14ac:dyDescent="0.15"/>
  <cols>
    <col min="1" max="1" width="65" customWidth="1"/>
    <col min="2" max="2" width="21.875" customWidth="1"/>
  </cols>
  <sheetData>
    <row r="1" spans="1:7" ht="14.25" x14ac:dyDescent="0.15">
      <c r="A1" s="2" t="s">
        <v>467</v>
      </c>
      <c r="B1" s="2" t="s">
        <v>468</v>
      </c>
    </row>
    <row r="2" spans="1:7" ht="14.25" x14ac:dyDescent="0.15">
      <c r="A2" s="3" t="s">
        <v>469</v>
      </c>
      <c r="B2" s="2" t="s">
        <v>468</v>
      </c>
    </row>
    <row r="3" spans="1:7" ht="14.25" x14ac:dyDescent="0.15">
      <c r="A3" s="2" t="s">
        <v>470</v>
      </c>
      <c r="B3" s="2" t="s">
        <v>471</v>
      </c>
    </row>
    <row r="4" spans="1:7" ht="14.25" x14ac:dyDescent="0.15">
      <c r="A4" s="2" t="s">
        <v>472</v>
      </c>
      <c r="B4" s="2" t="s">
        <v>473</v>
      </c>
    </row>
    <row r="5" spans="1:7" ht="14.25" x14ac:dyDescent="0.15">
      <c r="A5" s="2" t="s">
        <v>230</v>
      </c>
      <c r="B5" s="2" t="s">
        <v>474</v>
      </c>
    </row>
    <row r="6" spans="1:7" ht="14.25" x14ac:dyDescent="0.15">
      <c r="A6" s="2" t="s">
        <v>230</v>
      </c>
      <c r="B6" s="2" t="s">
        <v>475</v>
      </c>
    </row>
    <row r="7" spans="1:7" ht="14.25" x14ac:dyDescent="0.15">
      <c r="A7" s="3" t="s">
        <v>476</v>
      </c>
      <c r="B7" s="2" t="s">
        <v>477</v>
      </c>
    </row>
    <row r="8" spans="1:7" ht="14.25" x14ac:dyDescent="0.15">
      <c r="A8" s="3" t="s">
        <v>478</v>
      </c>
      <c r="B8" s="2" t="s">
        <v>479</v>
      </c>
    </row>
    <row r="9" spans="1:7" ht="14.25" x14ac:dyDescent="0.15">
      <c r="A9" s="4" t="s">
        <v>480</v>
      </c>
      <c r="B9" s="2" t="s">
        <v>479</v>
      </c>
    </row>
    <row r="10" spans="1:7" ht="14.25" x14ac:dyDescent="0.15">
      <c r="A10" s="2" t="s">
        <v>481</v>
      </c>
      <c r="B10" s="2" t="s">
        <v>479</v>
      </c>
    </row>
    <row r="11" spans="1:7" ht="14.25" x14ac:dyDescent="0.15">
      <c r="A11" s="2" t="s">
        <v>482</v>
      </c>
      <c r="B11" s="2" t="s">
        <v>479</v>
      </c>
    </row>
    <row r="12" spans="1:7" ht="14.25" x14ac:dyDescent="0.15">
      <c r="A12" s="3" t="s">
        <v>339</v>
      </c>
      <c r="B12" s="2" t="s">
        <v>483</v>
      </c>
      <c r="E12">
        <v>49140</v>
      </c>
      <c r="F12">
        <f>E12+E13</f>
        <v>109140</v>
      </c>
    </row>
    <row r="13" spans="1:7" ht="14.25" x14ac:dyDescent="0.15">
      <c r="A13" s="3" t="s">
        <v>330</v>
      </c>
      <c r="B13" s="2" t="s">
        <v>483</v>
      </c>
      <c r="E13">
        <v>60000</v>
      </c>
    </row>
    <row r="14" spans="1:7" ht="14.25" x14ac:dyDescent="0.15">
      <c r="A14" s="5" t="s">
        <v>484</v>
      </c>
      <c r="B14" s="6" t="s">
        <v>485</v>
      </c>
      <c r="G14">
        <f>(E12+E13+F16*E17)*1.8</f>
        <v>290502</v>
      </c>
    </row>
    <row r="15" spans="1:7" ht="14.25" x14ac:dyDescent="0.15">
      <c r="A15" s="6" t="s">
        <v>211</v>
      </c>
      <c r="B15" s="6" t="s">
        <v>485</v>
      </c>
      <c r="E15">
        <f>91*10</f>
        <v>910</v>
      </c>
    </row>
    <row r="16" spans="1:7" ht="14.25" x14ac:dyDescent="0.15">
      <c r="A16" s="3" t="s">
        <v>486</v>
      </c>
      <c r="B16" s="2" t="s">
        <v>485</v>
      </c>
      <c r="E16">
        <f>4*10</f>
        <v>40</v>
      </c>
      <c r="F16">
        <f>E15+E16</f>
        <v>950</v>
      </c>
    </row>
    <row r="17" spans="1:13" ht="14.25" x14ac:dyDescent="0.15">
      <c r="A17" s="2" t="s">
        <v>301</v>
      </c>
      <c r="B17" s="2" t="s">
        <v>487</v>
      </c>
      <c r="E17">
        <v>55</v>
      </c>
    </row>
    <row r="18" spans="1:13" ht="14.25" x14ac:dyDescent="0.15">
      <c r="A18" s="3" t="s">
        <v>488</v>
      </c>
      <c r="B18" s="2" t="s">
        <v>489</v>
      </c>
    </row>
    <row r="19" spans="1:13" ht="14.25" x14ac:dyDescent="0.15">
      <c r="A19" s="4" t="s">
        <v>490</v>
      </c>
      <c r="B19" s="7" t="s">
        <v>489</v>
      </c>
    </row>
    <row r="20" spans="1:13" ht="14.25" x14ac:dyDescent="0.15">
      <c r="A20" s="4" t="s">
        <v>491</v>
      </c>
      <c r="B20" s="7" t="s">
        <v>489</v>
      </c>
      <c r="E20">
        <v>4800021</v>
      </c>
      <c r="F20" t="str">
        <f>"0=[活动物品奖励]("&amp;$E20&amp;",1);"</f>
        <v>0=[活动物品奖励](4800021,1);</v>
      </c>
      <c r="G20" t="str">
        <f>SUBSTITUTE($F20,"0=","1=")</f>
        <v>1=[活动物品奖励](4800021,1);</v>
      </c>
      <c r="H20" t="str">
        <f>SUBSTITUTE($F20,"0=","2=")</f>
        <v>2=[活动物品奖励](4800021,1);</v>
      </c>
      <c r="I20" t="str">
        <f>SUBSTITUTE($F20,"0=","3=")</f>
        <v>3=[活动物品奖励](4800021,1);</v>
      </c>
      <c r="J20" t="str">
        <f>SUBSTITUTE($F20,"0=","4=")</f>
        <v>4=[活动物品奖励](4800021,1);</v>
      </c>
      <c r="K20" t="str">
        <f>SUBSTITUTE($F20,"0=","5=")</f>
        <v>5=[活动物品奖励](4800021,1);</v>
      </c>
      <c r="M20" t="str">
        <f>CONCATENATE(F20,G20,H20,I20,J20,K20,L20)</f>
        <v>0=[活动物品奖励](4800021,1);1=[活动物品奖励](4800021,1);2=[活动物品奖励](4800021,1);3=[活动物品奖励](4800021,1);4=[活动物品奖励](4800021,1);5=[活动物品奖励](4800021,1);</v>
      </c>
    </row>
    <row r="21" spans="1:13" ht="14.25" x14ac:dyDescent="0.15">
      <c r="A21" s="4" t="s">
        <v>492</v>
      </c>
      <c r="B21" s="7" t="s">
        <v>489</v>
      </c>
    </row>
    <row r="22" spans="1:13" ht="14.25" x14ac:dyDescent="0.15">
      <c r="A22" s="7" t="s">
        <v>493</v>
      </c>
      <c r="B22" s="7" t="s">
        <v>489</v>
      </c>
    </row>
    <row r="23" spans="1:13" ht="14.25" x14ac:dyDescent="0.15">
      <c r="A23" s="4" t="s">
        <v>494</v>
      </c>
      <c r="B23" s="7" t="s">
        <v>489</v>
      </c>
      <c r="E23">
        <v>4800003</v>
      </c>
      <c r="F23" t="str">
        <f t="shared" ref="F23:F25" si="0">"0=[活动物品奖励]("&amp;$E23&amp;",1);"</f>
        <v>0=[活动物品奖励](4800003,1);</v>
      </c>
      <c r="G23" t="str">
        <f t="shared" ref="G23:G25" si="1">SUBSTITUTE($F23,"0=","1=")</f>
        <v>1=[活动物品奖励](4800003,1);</v>
      </c>
      <c r="H23" t="str">
        <f t="shared" ref="H23:H25" si="2">SUBSTITUTE($F23,"0=","2=")</f>
        <v>2=[活动物品奖励](4800003,1);</v>
      </c>
      <c r="I23" t="str">
        <f t="shared" ref="I23:I25" si="3">SUBSTITUTE($F23,"0=","3=")</f>
        <v>3=[活动物品奖励](4800003,1);</v>
      </c>
      <c r="J23" t="str">
        <f t="shared" ref="J23:J25" si="4">SUBSTITUTE($F23,"0=","4=")</f>
        <v>4=[活动物品奖励](4800003,1);</v>
      </c>
      <c r="K23" t="str">
        <f t="shared" ref="K23:K25" si="5">SUBSTITUTE($F23,"0=","5=")</f>
        <v>5=[活动物品奖励](4800003,1);</v>
      </c>
      <c r="M23" t="str">
        <f>CONCATENATE(F23,F24,F25,G23,G24,G25,H23,H24,H25,I23,I24,I25,J23,J24,J25,K23,K24,K25)</f>
        <v>0=[活动物品奖励](4800003,1);0=[活动物品奖励](4800002,1);0=[活动物品奖励](4801015,1);1=[活动物品奖励](4800003,1);1=[活动物品奖励](4800002,1);1=[活动物品奖励](4801015,1);2=[活动物品奖励](4800003,1);2=[活动物品奖励](4800002,1);2=[活动物品奖励](4801015,1);3=[活动物品奖励](4800003,1);3=[活动物品奖励](4800002,1);3=[活动物品奖励](4801015,1);4=[活动物品奖励](4800003,1);4=[活动物品奖励](4800002,1);4=[活动物品奖励](4801015,1);5=[活动物品奖励](4800003,1);5=[活动物品奖励](4800002,1);5=[活动物品奖励](4801015,1);</v>
      </c>
    </row>
    <row r="24" spans="1:13" ht="14.25" x14ac:dyDescent="0.15">
      <c r="A24" s="3" t="s">
        <v>495</v>
      </c>
      <c r="B24" s="2" t="s">
        <v>496</v>
      </c>
      <c r="E24">
        <v>4800002</v>
      </c>
      <c r="F24" t="str">
        <f t="shared" si="0"/>
        <v>0=[活动物品奖励](4800002,1);</v>
      </c>
      <c r="G24" t="str">
        <f t="shared" si="1"/>
        <v>1=[活动物品奖励](4800002,1);</v>
      </c>
      <c r="H24" t="str">
        <f t="shared" si="2"/>
        <v>2=[活动物品奖励](4800002,1);</v>
      </c>
      <c r="I24" t="str">
        <f t="shared" si="3"/>
        <v>3=[活动物品奖励](4800002,1);</v>
      </c>
      <c r="J24" t="str">
        <f t="shared" si="4"/>
        <v>4=[活动物品奖励](4800002,1);</v>
      </c>
      <c r="K24" t="str">
        <f t="shared" si="5"/>
        <v>5=[活动物品奖励](4800002,1);</v>
      </c>
    </row>
    <row r="25" spans="1:13" ht="14.25" x14ac:dyDescent="0.15">
      <c r="A25" s="5" t="s">
        <v>322</v>
      </c>
      <c r="B25" s="6" t="s">
        <v>497</v>
      </c>
      <c r="E25">
        <v>4801015</v>
      </c>
      <c r="F25" t="str">
        <f t="shared" si="0"/>
        <v>0=[活动物品奖励](4801015,1);</v>
      </c>
      <c r="G25" t="str">
        <f t="shared" si="1"/>
        <v>1=[活动物品奖励](4801015,1);</v>
      </c>
      <c r="H25" t="str">
        <f t="shared" si="2"/>
        <v>2=[活动物品奖励](4801015,1);</v>
      </c>
      <c r="I25" t="str">
        <f t="shared" si="3"/>
        <v>3=[活动物品奖励](4801015,1);</v>
      </c>
      <c r="J25" t="str">
        <f t="shared" si="4"/>
        <v>4=[活动物品奖励](4801015,1);</v>
      </c>
      <c r="K25" t="str">
        <f t="shared" si="5"/>
        <v>5=[活动物品奖励](4801015,1);</v>
      </c>
    </row>
    <row r="26" spans="1:13" ht="14.25" x14ac:dyDescent="0.15">
      <c r="A26" s="5" t="s">
        <v>322</v>
      </c>
      <c r="B26" s="6" t="s">
        <v>498</v>
      </c>
    </row>
    <row r="27" spans="1:13" ht="14.25" x14ac:dyDescent="0.15">
      <c r="A27" s="5" t="s">
        <v>310</v>
      </c>
      <c r="B27" s="6" t="s">
        <v>497</v>
      </c>
    </row>
    <row r="28" spans="1:13" ht="14.25" x14ac:dyDescent="0.15">
      <c r="A28" s="5" t="s">
        <v>310</v>
      </c>
      <c r="B28" s="6" t="s">
        <v>498</v>
      </c>
      <c r="E28">
        <v>4801001</v>
      </c>
      <c r="F28" t="str">
        <f t="shared" ref="F28:F32" si="6">"0=[活动物品奖励]("&amp;$E28&amp;",1);"</f>
        <v>0=[活动物品奖励](4801001,1);</v>
      </c>
      <c r="G28" t="str">
        <f t="shared" ref="G28:G32" si="7">SUBSTITUTE($F28,"0=","1=")</f>
        <v>1=[活动物品奖励](4801001,1);</v>
      </c>
      <c r="H28" t="str">
        <f t="shared" ref="H28:H32" si="8">SUBSTITUTE($F28,"0=","2=")</f>
        <v>2=[活动物品奖励](4801001,1);</v>
      </c>
      <c r="I28" t="str">
        <f t="shared" ref="I28:I32" si="9">SUBSTITUTE($F28,"0=","3=")</f>
        <v>3=[活动物品奖励](4801001,1);</v>
      </c>
      <c r="J28" t="str">
        <f t="shared" ref="J28:J32" si="10">SUBSTITUTE($F28,"0=","4=")</f>
        <v>4=[活动物品奖励](4801001,1);</v>
      </c>
      <c r="K28" t="str">
        <f t="shared" ref="K28:K32" si="11">SUBSTITUTE($F28,"0=","5=")</f>
        <v>5=[活动物品奖励](4801001,1);</v>
      </c>
      <c r="M28" t="str">
        <f>CONCATENATE(F28,F29,F30,G28,G29,G30,H28,H29,H30,I28,I29,I30,J28,J29,J30,K28,K29,K30)</f>
        <v>0=[活动物品奖励](4801001,1);0=[活动物品奖励](4801016,1);1=[活动物品奖励](4801001,1);1=[活动物品奖励](4801016,1);2=[活动物品奖励](4801001,1);2=[活动物品奖励](4801016,1);3=[活动物品奖励](4801001,1);3=[活动物品奖励](4801016,1);4=[活动物品奖励](4801001,1);4=[活动物品奖励](4801016,1);5=[活动物品奖励](4801001,1);5=[活动物品奖励](4801016,1);</v>
      </c>
    </row>
    <row r="29" spans="1:13" ht="14.25" x14ac:dyDescent="0.15">
      <c r="A29" s="2" t="s">
        <v>385</v>
      </c>
      <c r="B29" s="2" t="s">
        <v>496</v>
      </c>
      <c r="E29">
        <v>4801016</v>
      </c>
      <c r="F29" t="str">
        <f t="shared" si="6"/>
        <v>0=[活动物品奖励](4801016,1);</v>
      </c>
      <c r="G29" t="str">
        <f t="shared" si="7"/>
        <v>1=[活动物品奖励](4801016,1);</v>
      </c>
      <c r="H29" t="str">
        <f t="shared" si="8"/>
        <v>2=[活动物品奖励](4801016,1);</v>
      </c>
      <c r="I29" t="str">
        <f t="shared" si="9"/>
        <v>3=[活动物品奖励](4801016,1);</v>
      </c>
      <c r="J29" t="str">
        <f t="shared" si="10"/>
        <v>4=[活动物品奖励](4801016,1);</v>
      </c>
      <c r="K29" t="str">
        <f t="shared" si="11"/>
        <v>5=[活动物品奖励](4801016,1);</v>
      </c>
    </row>
    <row r="30" spans="1:13" ht="14.25" x14ac:dyDescent="0.15">
      <c r="A30" s="3" t="s">
        <v>499</v>
      </c>
      <c r="B30" s="2" t="s">
        <v>500</v>
      </c>
    </row>
    <row r="31" spans="1:13" ht="14.25" x14ac:dyDescent="0.15">
      <c r="A31" s="2" t="s">
        <v>242</v>
      </c>
      <c r="B31" s="2" t="s">
        <v>500</v>
      </c>
      <c r="E31">
        <v>4800002</v>
      </c>
      <c r="F31" t="str">
        <f t="shared" si="6"/>
        <v>0=[活动物品奖励](4800002,1);</v>
      </c>
      <c r="G31" t="str">
        <f t="shared" si="7"/>
        <v>1=[活动物品奖励](4800002,1);</v>
      </c>
      <c r="H31" t="str">
        <f t="shared" si="8"/>
        <v>2=[活动物品奖励](4800002,1);</v>
      </c>
      <c r="I31" t="str">
        <f t="shared" si="9"/>
        <v>3=[活动物品奖励](4800002,1);</v>
      </c>
      <c r="J31" t="str">
        <f t="shared" si="10"/>
        <v>4=[活动物品奖励](4800002,1);</v>
      </c>
      <c r="K31" t="str">
        <f t="shared" si="11"/>
        <v>5=[活动物品奖励](4800002,1);</v>
      </c>
      <c r="M31" t="str">
        <f>CONCATENATE(F31,F32,F33,G31,G32,G33,H31,H32,H33,I31,I32,I33,J31,J32,J33,K31,K32,K33)</f>
        <v>0=[活动物品奖励](4800002,1);0=[活动物品奖励](4800021,1);1=[活动物品奖励](4800002,1);1=[活动物品奖励](4800021,1);2=[活动物品奖励](4800002,1);2=[活动物品奖励](4800021,1);3=[活动物品奖励](4800002,1);3=[活动物品奖励](4800021,1);4=[活动物品奖励](4800002,1);4=[活动物品奖励](4800021,1);5=[活动物品奖励](4800002,1);5=[活动物品奖励](4800021,1);</v>
      </c>
    </row>
    <row r="32" spans="1:13" ht="14.25" x14ac:dyDescent="0.15">
      <c r="A32" s="2" t="s">
        <v>501</v>
      </c>
      <c r="B32" s="2" t="s">
        <v>502</v>
      </c>
      <c r="E32">
        <v>4800021</v>
      </c>
      <c r="F32" t="str">
        <f t="shared" si="6"/>
        <v>0=[活动物品奖励](4800021,1);</v>
      </c>
      <c r="G32" t="str">
        <f t="shared" si="7"/>
        <v>1=[活动物品奖励](4800021,1);</v>
      </c>
      <c r="H32" t="str">
        <f t="shared" si="8"/>
        <v>2=[活动物品奖励](4800021,1);</v>
      </c>
      <c r="I32" t="str">
        <f t="shared" si="9"/>
        <v>3=[活动物品奖励](4800021,1);</v>
      </c>
      <c r="J32" t="str">
        <f t="shared" si="10"/>
        <v>4=[活动物品奖励](4800021,1);</v>
      </c>
      <c r="K32" t="str">
        <f t="shared" si="11"/>
        <v>5=[活动物品奖励](4800021,1);</v>
      </c>
    </row>
    <row r="33" spans="1:2" ht="14.25" x14ac:dyDescent="0.15">
      <c r="A33" s="3" t="s">
        <v>503</v>
      </c>
      <c r="B33" s="2" t="s">
        <v>502</v>
      </c>
    </row>
    <row r="34" spans="1:2" ht="14.25" x14ac:dyDescent="0.15">
      <c r="A34" s="4" t="s">
        <v>504</v>
      </c>
      <c r="B34" s="7" t="s">
        <v>505</v>
      </c>
    </row>
    <row r="35" spans="1:2" ht="14.25" x14ac:dyDescent="0.15">
      <c r="A35" s="4" t="s">
        <v>506</v>
      </c>
      <c r="B35" s="7" t="s">
        <v>505</v>
      </c>
    </row>
    <row r="36" spans="1:2" ht="14.25" x14ac:dyDescent="0.15">
      <c r="A36" s="4" t="s">
        <v>507</v>
      </c>
      <c r="B36" s="7" t="s">
        <v>505</v>
      </c>
    </row>
    <row r="37" spans="1:2" ht="14.25" x14ac:dyDescent="0.15">
      <c r="A37" s="3" t="s">
        <v>508</v>
      </c>
      <c r="B37" s="7" t="s">
        <v>505</v>
      </c>
    </row>
    <row r="38" spans="1:2" ht="14.25" x14ac:dyDescent="0.15">
      <c r="A38" s="3" t="s">
        <v>509</v>
      </c>
      <c r="B38" s="2" t="s">
        <v>510</v>
      </c>
    </row>
    <row r="39" spans="1:2" ht="14.25" x14ac:dyDescent="0.15">
      <c r="A39" s="3" t="s">
        <v>289</v>
      </c>
      <c r="B39" s="2" t="s">
        <v>510</v>
      </c>
    </row>
    <row r="40" spans="1:2" ht="14.25" x14ac:dyDescent="0.15">
      <c r="A40" s="3" t="s">
        <v>511</v>
      </c>
      <c r="B40" s="2" t="s">
        <v>512</v>
      </c>
    </row>
    <row r="41" spans="1:2" ht="14.25" x14ac:dyDescent="0.15">
      <c r="A41" s="3" t="s">
        <v>513</v>
      </c>
      <c r="B41" s="2" t="s">
        <v>514</v>
      </c>
    </row>
  </sheetData>
  <phoneticPr fontId="4" type="noConversion"/>
  <conditionalFormatting sqref="A29 A17 A31:A32">
    <cfRule type="duplicateValues" dxfId="0" priority="3"/>
  </conditionalFormatting>
  <pageMargins left="0.69930555555555596" right="0.69930555555555596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topLeftCell="A13" workbookViewId="0">
      <selection activeCell="C39" sqref="C39"/>
    </sheetView>
  </sheetViews>
  <sheetFormatPr defaultColWidth="9" defaultRowHeight="13.5" x14ac:dyDescent="0.15"/>
  <cols>
    <col min="1" max="1" width="14.375" customWidth="1"/>
    <col min="2" max="10" width="18.5" style="1" customWidth="1"/>
  </cols>
  <sheetData>
    <row r="1" spans="1:10" x14ac:dyDescent="0.15">
      <c r="A1" t="s">
        <v>42</v>
      </c>
      <c r="B1" s="1" t="s">
        <v>515</v>
      </c>
      <c r="C1" s="1" t="s">
        <v>515</v>
      </c>
      <c r="D1" s="1" t="s">
        <v>515</v>
      </c>
      <c r="E1" s="1" t="s">
        <v>515</v>
      </c>
      <c r="F1" s="1" t="s">
        <v>515</v>
      </c>
      <c r="G1" s="1" t="s">
        <v>515</v>
      </c>
      <c r="H1" s="1" t="s">
        <v>515</v>
      </c>
      <c r="I1" s="1" t="s">
        <v>515</v>
      </c>
      <c r="J1" s="1" t="s">
        <v>515</v>
      </c>
    </row>
    <row r="2" spans="1:10" x14ac:dyDescent="0.15">
      <c r="A2" t="s">
        <v>251</v>
      </c>
      <c r="B2" s="1" t="s">
        <v>194</v>
      </c>
      <c r="C2" s="1" t="s">
        <v>186</v>
      </c>
    </row>
    <row r="3" spans="1:10" x14ac:dyDescent="0.15">
      <c r="A3" t="s">
        <v>189</v>
      </c>
      <c r="B3" s="1" t="s">
        <v>194</v>
      </c>
    </row>
    <row r="4" spans="1:10" x14ac:dyDescent="0.15">
      <c r="A4" t="s">
        <v>176</v>
      </c>
      <c r="B4" s="1" t="s">
        <v>186</v>
      </c>
    </row>
    <row r="5" spans="1:10" x14ac:dyDescent="0.15">
      <c r="A5" t="s">
        <v>242</v>
      </c>
      <c r="B5" s="1" t="s">
        <v>516</v>
      </c>
      <c r="C5" s="1" t="s">
        <v>517</v>
      </c>
      <c r="D5" s="1" t="s">
        <v>518</v>
      </c>
    </row>
    <row r="6" spans="1:10" x14ac:dyDescent="0.15">
      <c r="A6" t="s">
        <v>519</v>
      </c>
      <c r="B6" s="1" t="s">
        <v>194</v>
      </c>
      <c r="C6" s="1" t="s">
        <v>186</v>
      </c>
      <c r="D6" s="1" t="s">
        <v>520</v>
      </c>
      <c r="E6" s="1" t="s">
        <v>521</v>
      </c>
    </row>
    <row r="7" spans="1:10" x14ac:dyDescent="0.15">
      <c r="A7" t="s">
        <v>211</v>
      </c>
      <c r="B7" s="1" t="s">
        <v>522</v>
      </c>
      <c r="C7" s="1" t="s">
        <v>523</v>
      </c>
      <c r="D7" s="1" t="s">
        <v>524</v>
      </c>
      <c r="E7" s="1" t="s">
        <v>525</v>
      </c>
    </row>
    <row r="8" spans="1:10" x14ac:dyDescent="0.15">
      <c r="A8" t="s">
        <v>351</v>
      </c>
      <c r="B8" s="1" t="s">
        <v>516</v>
      </c>
    </row>
    <row r="9" spans="1:10" x14ac:dyDescent="0.15">
      <c r="A9" t="s">
        <v>339</v>
      </c>
      <c r="B9" s="1" t="s">
        <v>194</v>
      </c>
      <c r="C9" s="1" t="s">
        <v>186</v>
      </c>
      <c r="D9" s="1" t="s">
        <v>346</v>
      </c>
    </row>
    <row r="10" spans="1:10" x14ac:dyDescent="0.15">
      <c r="A10" t="s">
        <v>463</v>
      </c>
      <c r="B10" s="1" t="s">
        <v>526</v>
      </c>
      <c r="C10" s="1" t="s">
        <v>527</v>
      </c>
      <c r="D10" s="1" t="s">
        <v>528</v>
      </c>
      <c r="E10" s="1" t="s">
        <v>529</v>
      </c>
    </row>
    <row r="11" spans="1:10" x14ac:dyDescent="0.15">
      <c r="A11" t="s">
        <v>530</v>
      </c>
      <c r="B11" s="1" t="s">
        <v>531</v>
      </c>
      <c r="C11" s="1" t="s">
        <v>532</v>
      </c>
    </row>
    <row r="12" spans="1:10" x14ac:dyDescent="0.15">
      <c r="A12" t="s">
        <v>533</v>
      </c>
      <c r="B12" s="1" t="s">
        <v>208</v>
      </c>
    </row>
    <row r="13" spans="1:10" x14ac:dyDescent="0.15">
      <c r="A13" t="s">
        <v>387</v>
      </c>
      <c r="B13" s="1" t="s">
        <v>186</v>
      </c>
      <c r="C13" s="1" t="s">
        <v>534</v>
      </c>
    </row>
    <row r="14" spans="1:10" x14ac:dyDescent="0.15">
      <c r="A14" t="s">
        <v>535</v>
      </c>
      <c r="B14" s="1" t="s">
        <v>356</v>
      </c>
    </row>
    <row r="15" spans="1:10" x14ac:dyDescent="0.15">
      <c r="A15" t="s">
        <v>536</v>
      </c>
      <c r="B15" s="1" t="s">
        <v>537</v>
      </c>
      <c r="C15" s="1" t="s">
        <v>538</v>
      </c>
    </row>
    <row r="16" spans="1:10" x14ac:dyDescent="0.15">
      <c r="A16" t="s">
        <v>539</v>
      </c>
      <c r="B16" s="1" t="s">
        <v>537</v>
      </c>
      <c r="C16" s="1" t="s">
        <v>540</v>
      </c>
    </row>
    <row r="17" spans="1:10" x14ac:dyDescent="0.15">
      <c r="A17" t="s">
        <v>541</v>
      </c>
      <c r="B17" s="1" t="s">
        <v>537</v>
      </c>
      <c r="C17" s="1" t="s">
        <v>542</v>
      </c>
    </row>
    <row r="18" spans="1:10" x14ac:dyDescent="0.15">
      <c r="A18" t="s">
        <v>543</v>
      </c>
      <c r="B18" s="1" t="s">
        <v>356</v>
      </c>
      <c r="C18" s="1" t="s">
        <v>194</v>
      </c>
      <c r="D18" s="1" t="s">
        <v>516</v>
      </c>
      <c r="E18" s="1" t="s">
        <v>544</v>
      </c>
    </row>
    <row r="19" spans="1:10" x14ac:dyDescent="0.15">
      <c r="A19" t="s">
        <v>545</v>
      </c>
      <c r="B19" s="1" t="s">
        <v>346</v>
      </c>
      <c r="C19" s="1" t="s">
        <v>208</v>
      </c>
      <c r="D19" s="1" t="s">
        <v>546</v>
      </c>
      <c r="E19" s="1" t="s">
        <v>547</v>
      </c>
    </row>
    <row r="20" spans="1:10" x14ac:dyDescent="0.15">
      <c r="A20" t="s">
        <v>548</v>
      </c>
      <c r="B20" s="1" t="s">
        <v>537</v>
      </c>
      <c r="C20" s="1" t="s">
        <v>542</v>
      </c>
    </row>
    <row r="21" spans="1:10" x14ac:dyDescent="0.15">
      <c r="A21" t="s">
        <v>549</v>
      </c>
      <c r="B21" s="1" t="s">
        <v>356</v>
      </c>
      <c r="C21" s="1" t="s">
        <v>550</v>
      </c>
      <c r="D21" s="1" t="s">
        <v>546</v>
      </c>
      <c r="E21" s="1" t="s">
        <v>547</v>
      </c>
    </row>
    <row r="22" spans="1:10" x14ac:dyDescent="0.15">
      <c r="A22" t="s">
        <v>551</v>
      </c>
      <c r="B22" s="1" t="s">
        <v>346</v>
      </c>
      <c r="C22" s="1" t="s">
        <v>186</v>
      </c>
      <c r="D22" s="1" t="s">
        <v>194</v>
      </c>
    </row>
    <row r="23" spans="1:10" x14ac:dyDescent="0.15">
      <c r="A23" t="s">
        <v>552</v>
      </c>
      <c r="B23" s="1" t="s">
        <v>346</v>
      </c>
      <c r="C23" s="1" t="s">
        <v>186</v>
      </c>
      <c r="D23" s="1" t="s">
        <v>194</v>
      </c>
    </row>
    <row r="24" spans="1:10" x14ac:dyDescent="0.15">
      <c r="A24" t="s">
        <v>553</v>
      </c>
      <c r="B24" s="1" t="s">
        <v>346</v>
      </c>
      <c r="C24" s="1" t="s">
        <v>186</v>
      </c>
      <c r="D24" s="1" t="s">
        <v>194</v>
      </c>
    </row>
    <row r="25" spans="1:10" x14ac:dyDescent="0.15">
      <c r="A25" t="s">
        <v>554</v>
      </c>
    </row>
    <row r="26" spans="1:10" x14ac:dyDescent="0.15">
      <c r="A26" t="s">
        <v>555</v>
      </c>
      <c r="B26" s="1" t="s">
        <v>356</v>
      </c>
      <c r="C26" s="1" t="s">
        <v>186</v>
      </c>
      <c r="D26" s="1" t="s">
        <v>194</v>
      </c>
      <c r="E26" s="1" t="s">
        <v>556</v>
      </c>
      <c r="F26" s="1" t="s">
        <v>538</v>
      </c>
      <c r="G26" s="1" t="s">
        <v>540</v>
      </c>
      <c r="H26" s="1" t="s">
        <v>208</v>
      </c>
      <c r="I26" s="1" t="s">
        <v>557</v>
      </c>
      <c r="J26" s="1" t="s">
        <v>558</v>
      </c>
    </row>
    <row r="27" spans="1:10" x14ac:dyDescent="0.15">
      <c r="A27" t="s">
        <v>559</v>
      </c>
      <c r="B27" s="1" t="s">
        <v>537</v>
      </c>
      <c r="C27" s="1" t="s">
        <v>208</v>
      </c>
      <c r="D27" s="1" t="s">
        <v>546</v>
      </c>
      <c r="E27" s="1" t="s">
        <v>547</v>
      </c>
    </row>
    <row r="28" spans="1:10" x14ac:dyDescent="0.15">
      <c r="A28" t="s">
        <v>560</v>
      </c>
      <c r="B28" s="1" t="s">
        <v>194</v>
      </c>
      <c r="C28" s="1" t="s">
        <v>556</v>
      </c>
      <c r="D28" s="1" t="s">
        <v>561</v>
      </c>
      <c r="E28" s="1" t="s">
        <v>540</v>
      </c>
      <c r="F28" s="1" t="s">
        <v>562</v>
      </c>
    </row>
    <row r="29" spans="1:10" x14ac:dyDescent="0.15">
      <c r="A29" t="s">
        <v>377</v>
      </c>
      <c r="B29" s="1" t="s">
        <v>208</v>
      </c>
      <c r="C29" s="1" t="s">
        <v>563</v>
      </c>
      <c r="D29" s="1" t="s">
        <v>564</v>
      </c>
      <c r="E29" s="1" t="s">
        <v>565</v>
      </c>
      <c r="F29" s="1" t="s">
        <v>566</v>
      </c>
      <c r="G29" s="1" t="s">
        <v>567</v>
      </c>
      <c r="H29" s="1" t="s">
        <v>568</v>
      </c>
      <c r="I29" s="1" t="s">
        <v>569</v>
      </c>
    </row>
    <row r="30" spans="1:10" x14ac:dyDescent="0.15">
      <c r="A30" t="s">
        <v>379</v>
      </c>
      <c r="B30" s="1" t="s">
        <v>208</v>
      </c>
      <c r="C30" s="1" t="s">
        <v>570</v>
      </c>
      <c r="D30" s="1" t="s">
        <v>571</v>
      </c>
      <c r="E30" s="1" t="s">
        <v>572</v>
      </c>
      <c r="F30" s="1" t="s">
        <v>573</v>
      </c>
      <c r="G30" s="1" t="s">
        <v>574</v>
      </c>
      <c r="H30" s="1" t="s">
        <v>575</v>
      </c>
      <c r="I30" s="1" t="s">
        <v>576</v>
      </c>
    </row>
    <row r="31" spans="1:10" x14ac:dyDescent="0.15">
      <c r="A31" t="s">
        <v>577</v>
      </c>
      <c r="B31" s="1" t="s">
        <v>208</v>
      </c>
      <c r="C31" s="1" t="s">
        <v>563</v>
      </c>
      <c r="D31" s="1" t="s">
        <v>564</v>
      </c>
      <c r="E31" s="1" t="s">
        <v>565</v>
      </c>
      <c r="F31" s="1" t="s">
        <v>566</v>
      </c>
      <c r="G31" s="1" t="s">
        <v>567</v>
      </c>
      <c r="H31" s="1" t="s">
        <v>568</v>
      </c>
      <c r="I31" s="1" t="s">
        <v>569</v>
      </c>
    </row>
    <row r="32" spans="1:10" x14ac:dyDescent="0.15">
      <c r="A32" t="s">
        <v>385</v>
      </c>
      <c r="B32" s="1" t="s">
        <v>356</v>
      </c>
      <c r="C32" s="1" t="s">
        <v>208</v>
      </c>
      <c r="D32" s="1" t="s">
        <v>578</v>
      </c>
      <c r="E32" s="1" t="s">
        <v>579</v>
      </c>
      <c r="F32" s="1" t="s">
        <v>580</v>
      </c>
      <c r="G32" s="1" t="s">
        <v>581</v>
      </c>
      <c r="H32" s="1" t="s">
        <v>582</v>
      </c>
    </row>
    <row r="33" spans="1:8" x14ac:dyDescent="0.15">
      <c r="A33" t="s">
        <v>583</v>
      </c>
      <c r="B33" s="1" t="s">
        <v>356</v>
      </c>
      <c r="C33" s="1" t="s">
        <v>208</v>
      </c>
      <c r="D33" s="1" t="s">
        <v>578</v>
      </c>
      <c r="E33" s="1" t="s">
        <v>579</v>
      </c>
      <c r="F33" s="1" t="s">
        <v>580</v>
      </c>
      <c r="G33" s="1" t="s">
        <v>581</v>
      </c>
      <c r="H33" s="1" t="s">
        <v>582</v>
      </c>
    </row>
    <row r="34" spans="1:8" x14ac:dyDescent="0.15">
      <c r="A34" t="s">
        <v>584</v>
      </c>
      <c r="B34" s="1" t="s">
        <v>542</v>
      </c>
    </row>
    <row r="39" spans="1:8" x14ac:dyDescent="0.15">
      <c r="A39" t="s">
        <v>585</v>
      </c>
      <c r="B39" s="1" t="str">
        <f>SUBSTITUTE(A$39,"0=","1=")</f>
        <v>1=[活动物品奖励](4800046,1);1=[活动物品奖励](4105030,1);1=[活动物品奖励](4105031,1);1=[活动物品奖励](4105040,1);1=[活动物品奖励](4105041,1);1=[活动物品奖励](4105035,1);</v>
      </c>
      <c r="C39" s="1" t="str">
        <f>A39&amp;B39&amp;B40&amp;B41&amp;B42&amp;B43</f>
        <v>0=[活动物品奖励](4800046,1);0=[活动物品奖励](4105030,1);0=[活动物品奖励](4105031,1);0=[活动物品奖励](4105040,1);0=[活动物品奖励](4105041,1);0=[活动物品奖励](4105035,1);1=[活动物品奖励](4800046,1);1=[活动物品奖励](4105030,1);1=[活动物品奖励](4105031,1);1=[活动物品奖励](4105040,1);1=[活动物品奖励](4105041,1);1=[活动物品奖励](4105035,1);2=[活动物品奖励](4800046,1);2=[活动物品奖励](4105030,1);2=[活动物品奖励](4105031,1);2=[活动物品奖励](4105040,1);2=[活动物品奖励](4105041,1);2=[活动物品奖励](4105035,1);3=[活动物品奖励](4800046,1);3=[活动物品奖励](4105030,1);3=[活动物品奖励](4105031,1);3=[活动物品奖励](4105040,1);3=[活动物品奖励](4105041,1);3=[活动物品奖励](4105035,1);4=[活动物品奖励](4800046,1);4=[活动物品奖励](4105030,1);4=[活动物品奖励](4105031,1);4=[活动物品奖励](4105040,1);4=[活动物品奖励](4105041,1);4=[活动物品奖励](4105035,1);5=[活动物品奖励](4800046,1);5=[活动物品奖励](4105030,1);5=[活动物品奖励](4105031,1);5=[活动物品奖励](4105040,1);5=[活动物品奖励](4105041,1);5=[活动物品奖励](4105035,1);</v>
      </c>
    </row>
    <row r="40" spans="1:8" x14ac:dyDescent="0.15">
      <c r="B40" s="1" t="str">
        <f>SUBSTITUTE(A$39,"0=","2=")</f>
        <v>2=[活动物品奖励](4800046,1);2=[活动物品奖励](4105030,1);2=[活动物品奖励](4105031,1);2=[活动物品奖励](4105040,1);2=[活动物品奖励](4105041,1);2=[活动物品奖励](4105035,1);</v>
      </c>
    </row>
    <row r="41" spans="1:8" x14ac:dyDescent="0.15">
      <c r="B41" s="1" t="str">
        <f>SUBSTITUTE(A$39,"0=","3=")</f>
        <v>3=[活动物品奖励](4800046,1);3=[活动物品奖励](4105030,1);3=[活动物品奖励](4105031,1);3=[活动物品奖励](4105040,1);3=[活动物品奖励](4105041,1);3=[活动物品奖励](4105035,1);</v>
      </c>
    </row>
    <row r="42" spans="1:8" x14ac:dyDescent="0.15">
      <c r="B42" s="1" t="str">
        <f>SUBSTITUTE(A$39,"0=","4=")</f>
        <v>4=[活动物品奖励](4800046,1);4=[活动物品奖励](4105030,1);4=[活动物品奖励](4105031,1);4=[活动物品奖励](4105040,1);4=[活动物品奖励](4105041,1);4=[活动物品奖励](4105035,1);</v>
      </c>
    </row>
    <row r="43" spans="1:8" x14ac:dyDescent="0.15">
      <c r="B43" s="1" t="str">
        <f>SUBSTITUTE(A$39,"0=","5=")</f>
        <v>5=[活动物品奖励](4800046,1);5=[活动物品奖励](4105030,1);5=[活动物品奖励](4105031,1);5=[活动物品奖励](4105040,1);5=[活动物品奖励](4105041,1);5=[活动物品奖励](4105035,1);</v>
      </c>
    </row>
  </sheetData>
  <phoneticPr fontId="4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Sheet1 (2)</vt:lpstr>
      <vt:lpstr>备用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China</cp:lastModifiedBy>
  <cp:revision>3</cp:revision>
  <dcterms:created xsi:type="dcterms:W3CDTF">2018-03-01T07:15:00Z</dcterms:created>
  <dcterms:modified xsi:type="dcterms:W3CDTF">2023-04-07T06:26:56Z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30DC1FE487034659AD58D464E1025F0D</vt:lpwstr>
  </property>
</Properties>
</file>